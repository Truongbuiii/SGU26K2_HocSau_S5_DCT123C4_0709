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NTAI\2026\sgu26k2_deep_learning\labs\"/>
    </mc:Choice>
  </mc:AlternateContent>
  <xr:revisionPtr revIDLastSave="0" documentId="13_ncr:1_{11E5E560-96A6-4F28-B516-8454559D3FBD}" xr6:coauthVersionLast="47" xr6:coauthVersionMax="47" xr10:uidLastSave="{00000000-0000-0000-0000-000000000000}"/>
  <bookViews>
    <workbookView xWindow="19110" yWindow="-90" windowWidth="19380" windowHeight="10260" xr2:uid="{1414CBA2-9857-405A-A3C0-B4ACC8BAD6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 a="1"/>
  <c r="I11" i="1" s="1" a="1"/>
  <c r="E4" i="1"/>
  <c r="F4" i="1" s="1"/>
  <c r="E8" i="1"/>
  <c r="F8" i="1" s="1"/>
  <c r="E7" i="1"/>
  <c r="F7" i="1" s="1"/>
  <c r="E6" i="1"/>
  <c r="F6" i="1" s="1"/>
  <c r="E5" i="1"/>
  <c r="F5" i="1" s="1"/>
  <c r="B12" i="1" l="1" a="1"/>
  <c r="I12" i="1" s="1" a="1"/>
  <c r="F9" i="1"/>
  <c r="I13" i="1" l="1" a="1"/>
  <c r="B14" i="1" s="1" a="1"/>
  <c r="I14" i="1" s="1" a="1"/>
  <c r="I15" i="1" s="1" a="1"/>
  <c r="B16" i="1" s="1" a="1"/>
  <c r="C18" i="1" s="1" a="1"/>
  <c r="C19" i="1" s="1" a="1"/>
  <c r="C20" i="1" s="1" a="1"/>
  <c r="E23" i="1" l="1" a="1"/>
  <c r="C24" i="1" s="1" a="1"/>
  <c r="D24" i="1" s="1" a="1"/>
  <c r="E24" i="1" s="1" a="1"/>
  <c r="C25" i="1" s="1" a="1"/>
  <c r="D25" i="1" s="1" a="1"/>
  <c r="E25" i="1" s="1" a="1"/>
  <c r="C26" i="1" s="1" a="1"/>
  <c r="D26" i="1" s="1" a="1"/>
  <c r="E26" i="1" s="1" a="1"/>
  <c r="C27" i="1" s="1" a="1"/>
  <c r="D27" i="1" s="1" a="1"/>
  <c r="E27" i="1" s="1" a="1"/>
  <c r="C28" i="1" s="1" a="1"/>
  <c r="D28" i="1" s="1" a="1"/>
  <c r="E28" i="1" s="1" a="1"/>
  <c r="C29" i="1" s="1" a="1"/>
  <c r="D29" i="1" s="1" a="1"/>
  <c r="E29" i="1" s="1" a="1"/>
  <c r="C30" i="1" s="1" a="1"/>
  <c r="D30" i="1" s="1" a="1"/>
  <c r="E30" i="1" s="1" a="1"/>
  <c r="C31" i="1" s="1" a="1"/>
  <c r="D31" i="1" s="1" a="1"/>
  <c r="E31" i="1" s="1" a="1"/>
  <c r="C32" i="1" s="1" a="1"/>
  <c r="D32" i="1" s="1" a="1"/>
  <c r="E32" i="1" s="1" a="1"/>
  <c r="C33" i="1" s="1" a="1"/>
  <c r="D33" i="1" s="1" a="1"/>
  <c r="E33" i="1" s="1" a="1"/>
  <c r="C34" i="1" s="1" a="1"/>
  <c r="D34" i="1" s="1" a="1"/>
  <c r="E34" i="1" s="1" a="1"/>
  <c r="C35" i="1" s="1" a="1"/>
  <c r="D35" i="1" s="1" a="1"/>
  <c r="E35" i="1" s="1" a="1"/>
  <c r="C36" i="1" s="1" a="1"/>
  <c r="D36" i="1" s="1" a="1"/>
  <c r="E36" i="1" s="1" a="1"/>
  <c r="C37" i="1" s="1" a="1"/>
  <c r="D37" i="1" s="1" a="1"/>
  <c r="E37" i="1" s="1" a="1"/>
  <c r="C38" i="1" s="1" a="1"/>
  <c r="D38" i="1" s="1" a="1"/>
  <c r="E38" i="1" s="1" a="1"/>
  <c r="C39" i="1" s="1" a="1"/>
  <c r="D39" i="1" s="1" a="1"/>
  <c r="E39" i="1" s="1" a="1"/>
  <c r="C40" i="1" s="1" a="1"/>
  <c r="D40" i="1" s="1" a="1"/>
  <c r="E40" i="1" s="1" a="1"/>
  <c r="C41" i="1" s="1" a="1"/>
  <c r="D41" i="1" s="1" a="1"/>
  <c r="E41" i="1" s="1" a="1"/>
  <c r="C42" i="1" s="1" a="1"/>
  <c r="D42" i="1" s="1" a="1"/>
  <c r="E42" i="1" s="1" a="1"/>
  <c r="C43" i="1" s="1" a="1"/>
  <c r="D43" i="1" s="1" a="1"/>
  <c r="E43" i="1" s="1" a="1"/>
  <c r="C44" i="1" s="1" a="1"/>
  <c r="D44" i="1" s="1" a="1"/>
  <c r="E44" i="1" s="1" a="1"/>
  <c r="C45" i="1" s="1" a="1"/>
  <c r="D45" i="1" s="1" a="1"/>
  <c r="E45" i="1" s="1" a="1"/>
  <c r="C46" i="1" s="1" a="1"/>
  <c r="D46" i="1" s="1" a="1"/>
  <c r="E46" i="1" s="1" a="1"/>
  <c r="C47" i="1" s="1" a="1"/>
  <c r="D47" i="1" s="1" a="1"/>
  <c r="E47" i="1" s="1" a="1"/>
  <c r="C48" i="1" s="1" a="1"/>
  <c r="D48" i="1" s="1" a="1"/>
  <c r="E48" i="1" s="1" a="1"/>
  <c r="C49" i="1" s="1" a="1"/>
  <c r="D49" i="1" s="1" a="1"/>
  <c r="E49" i="1" s="1" a="1"/>
  <c r="C50" i="1" s="1" a="1"/>
  <c r="D50" i="1" s="1" a="1"/>
  <c r="E50" i="1" s="1" a="1"/>
  <c r="C51" i="1" s="1" a="1"/>
  <c r="D51" i="1" s="1" a="1"/>
  <c r="E51" i="1" s="1" a="1"/>
  <c r="C52" i="1" s="1" a="1"/>
  <c r="D52" i="1" s="1" a="1"/>
  <c r="E52" i="1" s="1" a="1"/>
  <c r="C53" i="1" s="1" a="1"/>
  <c r="D53" i="1" s="1" a="1"/>
  <c r="E53" i="1" s="1" a="1"/>
  <c r="C54" i="1" s="1" a="1"/>
  <c r="D54" i="1" s="1" a="1"/>
  <c r="E54" i="1" s="1" a="1"/>
  <c r="C55" i="1" s="1" a="1"/>
  <c r="D55" i="1" s="1" a="1"/>
  <c r="E55" i="1" s="1" a="1"/>
  <c r="C56" i="1" s="1" a="1"/>
  <c r="D56" i="1" s="1" a="1"/>
  <c r="E56" i="1" s="1" a="1"/>
  <c r="C57" i="1" s="1" a="1"/>
  <c r="D57" i="1" s="1" a="1"/>
  <c r="E57" i="1" s="1" a="1"/>
  <c r="C58" i="1" s="1" a="1"/>
  <c r="D58" i="1" s="1" a="1"/>
  <c r="E58" i="1" s="1" a="1"/>
  <c r="C59" i="1" s="1" a="1"/>
  <c r="D59" i="1" s="1" a="1"/>
  <c r="E59" i="1" s="1" a="1"/>
  <c r="C60" i="1" s="1" a="1"/>
  <c r="D60" i="1" s="1" a="1"/>
  <c r="E60" i="1" s="1" a="1"/>
  <c r="C61" i="1" s="1" a="1"/>
  <c r="D61" i="1" s="1" a="1"/>
  <c r="E61" i="1" s="1" a="1"/>
  <c r="C62" i="1" s="1" a="1"/>
  <c r="D62" i="1" s="1" a="1"/>
  <c r="E62" i="1" s="1" a="1"/>
  <c r="C63" i="1" s="1" a="1"/>
  <c r="D63" i="1" s="1" a="1"/>
  <c r="E63" i="1" s="1" a="1"/>
  <c r="C64" i="1" s="1" a="1"/>
  <c r="D64" i="1" s="1" a="1"/>
  <c r="E64" i="1" s="1" a="1"/>
  <c r="C65" i="1" s="1" a="1"/>
  <c r="D65" i="1" s="1" a="1"/>
  <c r="E65" i="1" s="1" a="1"/>
  <c r="C66" i="1" s="1" a="1"/>
  <c r="D66" i="1" s="1" a="1"/>
  <c r="E66" i="1" s="1" a="1"/>
  <c r="C67" i="1" s="1" a="1"/>
  <c r="D67" i="1" s="1" a="1"/>
  <c r="E67" i="1" s="1" a="1"/>
  <c r="C68" i="1" s="1" a="1"/>
  <c r="D68" i="1" s="1" a="1"/>
  <c r="E68" i="1" s="1" a="1"/>
  <c r="C69" i="1" s="1" a="1"/>
  <c r="D69" i="1" s="1" a="1"/>
  <c r="E69" i="1" s="1" a="1"/>
  <c r="C70" i="1" s="1" a="1"/>
  <c r="D70" i="1" s="1" a="1"/>
  <c r="E70" i="1" s="1" a="1"/>
  <c r="C71" i="1" s="1" a="1"/>
  <c r="D71" i="1" s="1" a="1"/>
  <c r="E71" i="1" s="1" a="1"/>
  <c r="C72" i="1" s="1" a="1"/>
  <c r="D72" i="1" s="1" a="1"/>
  <c r="E72" i="1" s="1" a="1"/>
  <c r="C73" i="1" s="1" a="1"/>
  <c r="D73" i="1" s="1" a="1"/>
  <c r="E73" i="1" s="1" a="1"/>
  <c r="C74" i="1" s="1" a="1"/>
  <c r="D74" i="1" s="1" a="1"/>
  <c r="E74" i="1" s="1" a="1"/>
  <c r="C75" i="1" s="1" a="1"/>
  <c r="D75" i="1" s="1" a="1"/>
  <c r="E75" i="1" s="1" a="1"/>
  <c r="C76" i="1" s="1" a="1"/>
  <c r="D76" i="1" s="1" a="1"/>
  <c r="E76" i="1" s="1" a="1"/>
  <c r="C77" i="1" s="1" a="1"/>
  <c r="D77" i="1" s="1" a="1"/>
  <c r="E77" i="1" s="1" a="1"/>
  <c r="C78" i="1" s="1" a="1"/>
  <c r="D78" i="1" s="1" a="1"/>
  <c r="E78" i="1" s="1" a="1"/>
  <c r="C79" i="1" s="1" a="1"/>
  <c r="D79" i="1" s="1" a="1"/>
  <c r="E79" i="1" s="1" a="1"/>
  <c r="C80" i="1" s="1" a="1"/>
  <c r="D80" i="1" s="1" a="1"/>
  <c r="E80" i="1" s="1" a="1"/>
  <c r="C81" i="1" s="1" a="1"/>
  <c r="D81" i="1" s="1" a="1"/>
  <c r="E81" i="1" s="1" a="1"/>
  <c r="C82" i="1" s="1" a="1"/>
  <c r="D82" i="1" s="1" a="1"/>
  <c r="E82" i="1" s="1" a="1"/>
  <c r="C83" i="1" s="1" a="1"/>
  <c r="D83" i="1" s="1" a="1"/>
  <c r="E83" i="1" s="1" a="1"/>
  <c r="C84" i="1" s="1" a="1"/>
  <c r="D84" i="1" s="1" a="1"/>
  <c r="E84" i="1" s="1" a="1"/>
  <c r="C85" i="1" s="1" a="1"/>
  <c r="D85" i="1" s="1" a="1"/>
  <c r="E85" i="1" s="1" a="1"/>
  <c r="C86" i="1" s="1" a="1"/>
  <c r="D86" i="1" s="1" a="1"/>
  <c r="E86" i="1" s="1" a="1"/>
  <c r="C87" i="1" s="1" a="1"/>
  <c r="D87" i="1" s="1" a="1"/>
  <c r="E87" i="1" s="1" a="1"/>
  <c r="C88" i="1" s="1" a="1"/>
  <c r="D88" i="1" s="1" a="1"/>
  <c r="E88" i="1" s="1" a="1"/>
  <c r="C89" i="1" s="1" a="1"/>
  <c r="D89" i="1" s="1" a="1"/>
  <c r="E89" i="1" s="1" a="1"/>
  <c r="C90" i="1" s="1" a="1"/>
  <c r="D90" i="1" s="1" a="1"/>
  <c r="E90" i="1" s="1" a="1"/>
  <c r="C91" i="1" s="1" a="1"/>
  <c r="D91" i="1" s="1" a="1"/>
  <c r="E91" i="1" s="1" a="1"/>
  <c r="C92" i="1" s="1" a="1"/>
  <c r="D92" i="1" s="1" a="1"/>
  <c r="E92" i="1" s="1" a="1"/>
  <c r="C93" i="1" s="1" a="1"/>
  <c r="D93" i="1" s="1" a="1"/>
  <c r="E93" i="1" s="1" a="1"/>
  <c r="C94" i="1" s="1" a="1"/>
  <c r="D94" i="1" s="1" a="1"/>
  <c r="E94" i="1" s="1" a="1"/>
  <c r="C95" i="1" s="1" a="1"/>
  <c r="D95" i="1" s="1" a="1"/>
  <c r="E95" i="1" s="1" a="1"/>
  <c r="C96" i="1" s="1" a="1"/>
  <c r="D96" i="1" s="1" a="1"/>
  <c r="E96" i="1" s="1" a="1"/>
  <c r="C97" i="1" s="1" a="1"/>
  <c r="D97" i="1" s="1" a="1"/>
  <c r="E97" i="1" s="1" a="1"/>
  <c r="C98" i="1" s="1" a="1"/>
  <c r="D98" i="1" s="1" a="1"/>
  <c r="E98" i="1" s="1" a="1"/>
  <c r="C99" i="1" s="1" a="1"/>
  <c r="D99" i="1" s="1" a="1"/>
  <c r="E99" i="1" s="1" a="1"/>
  <c r="C100" i="1" s="1" a="1"/>
  <c r="D100" i="1" s="1" a="1"/>
  <c r="E100" i="1" s="1" a="1"/>
  <c r="C101" i="1" s="1" a="1"/>
  <c r="D101" i="1" s="1" a="1"/>
  <c r="E101" i="1" s="1" a="1"/>
  <c r="C102" i="1" s="1" a="1"/>
  <c r="D102" i="1" s="1" a="1"/>
  <c r="E102" i="1" s="1" a="1"/>
  <c r="C103" i="1" s="1" a="1"/>
  <c r="D103" i="1" s="1" a="1"/>
  <c r="E103" i="1" s="1" a="1"/>
  <c r="C104" i="1" s="1" a="1"/>
  <c r="D104" i="1" s="1" a="1"/>
  <c r="E104" i="1" s="1" a="1"/>
  <c r="C105" i="1" s="1" a="1"/>
  <c r="D105" i="1" s="1" a="1"/>
  <c r="E105" i="1" s="1" a="1"/>
  <c r="C106" i="1" s="1" a="1"/>
  <c r="D106" i="1" s="1" a="1"/>
  <c r="E106" i="1" s="1" a="1"/>
  <c r="C107" i="1" s="1" a="1"/>
  <c r="D107" i="1" s="1" a="1"/>
  <c r="E107" i="1" s="1" a="1"/>
  <c r="C108" i="1" s="1" a="1"/>
  <c r="D108" i="1" s="1" a="1"/>
  <c r="E108" i="1" s="1" a="1"/>
  <c r="C109" i="1" s="1" a="1"/>
  <c r="D109" i="1" s="1" a="1"/>
  <c r="E109" i="1" s="1" a="1"/>
  <c r="C110" i="1" s="1" a="1"/>
  <c r="D110" i="1" s="1" a="1"/>
  <c r="E110" i="1" s="1" a="1"/>
  <c r="C111" i="1" s="1" a="1"/>
  <c r="D111" i="1" s="1" a="1"/>
  <c r="E111" i="1" s="1" a="1"/>
  <c r="C112" i="1" s="1" a="1"/>
  <c r="D112" i="1" s="1" a="1"/>
  <c r="E112" i="1" s="1" a="1"/>
  <c r="C113" i="1" s="1" a="1"/>
  <c r="D113" i="1" s="1" a="1"/>
  <c r="E113" i="1" s="1" a="1"/>
  <c r="C114" i="1" s="1" a="1"/>
  <c r="D114" i="1" s="1" a="1"/>
  <c r="E114" i="1" s="1" a="1"/>
  <c r="C115" i="1" s="1" a="1"/>
  <c r="D115" i="1" s="1" a="1"/>
  <c r="E115" i="1" s="1" a="1"/>
  <c r="C116" i="1" s="1" a="1"/>
  <c r="D116" i="1" s="1" a="1"/>
  <c r="E116" i="1" s="1" a="1"/>
  <c r="C117" i="1" s="1" a="1"/>
  <c r="D117" i="1" s="1" a="1"/>
  <c r="E117" i="1" s="1" a="1"/>
  <c r="C118" i="1" s="1" a="1"/>
  <c r="D118" i="1" s="1" a="1"/>
  <c r="E118" i="1" s="1" a="1"/>
  <c r="C119" i="1" s="1" a="1"/>
  <c r="D119" i="1" s="1" a="1"/>
  <c r="E119" i="1" s="1" a="1"/>
  <c r="C120" i="1" s="1" a="1"/>
  <c r="D120" i="1" s="1" a="1"/>
  <c r="E120" i="1" s="1" a="1"/>
  <c r="C121" i="1" s="1" a="1"/>
  <c r="D121" i="1" s="1" a="1"/>
  <c r="E121" i="1" s="1" a="1"/>
  <c r="C122" i="1" s="1" a="1"/>
  <c r="D122" i="1" s="1" a="1"/>
  <c r="E122" i="1" s="1" a="1"/>
  <c r="C123" i="1" s="1" a="1"/>
  <c r="D123" i="1" s="1" a="1"/>
  <c r="E123" i="1" s="1" a="1"/>
  <c r="C124" i="1" s="1" a="1"/>
  <c r="D124" i="1" s="1" a="1"/>
  <c r="E124" i="1" s="1" a="1"/>
  <c r="C125" i="1" s="1" a="1"/>
  <c r="D125" i="1" s="1" a="1"/>
  <c r="E125" i="1" s="1" a="1"/>
  <c r="C126" i="1" s="1" a="1"/>
  <c r="D126" i="1" s="1" a="1"/>
  <c r="E126" i="1" s="1" a="1"/>
  <c r="C127" i="1" s="1" a="1"/>
  <c r="D127" i="1" s="1" a="1"/>
  <c r="E127" i="1" s="1" a="1"/>
  <c r="C128" i="1" s="1" a="1"/>
  <c r="D128" i="1" s="1" a="1"/>
  <c r="E128" i="1" s="1" a="1"/>
  <c r="C129" i="1" s="1" a="1"/>
  <c r="D129" i="1" s="1" a="1"/>
  <c r="E129" i="1" s="1" a="1"/>
  <c r="C130" i="1" s="1" a="1"/>
  <c r="D130" i="1" s="1" a="1"/>
  <c r="E130" i="1" s="1" a="1"/>
  <c r="C131" i="1" s="1" a="1"/>
  <c r="D131" i="1" s="1" a="1"/>
  <c r="E131" i="1" s="1" a="1"/>
  <c r="C132" i="1" s="1" a="1"/>
  <c r="D132" i="1" s="1" a="1"/>
  <c r="E132" i="1" s="1" a="1"/>
  <c r="C133" i="1" s="1" a="1"/>
  <c r="D133" i="1" s="1" a="1"/>
  <c r="E133" i="1" s="1" a="1"/>
  <c r="C134" i="1" s="1" a="1"/>
  <c r="D134" i="1" s="1" a="1"/>
  <c r="E134" i="1" s="1" a="1"/>
  <c r="C135" i="1" s="1" a="1"/>
  <c r="D135" i="1" s="1" a="1"/>
  <c r="E135" i="1" s="1" a="1"/>
  <c r="C136" i="1" s="1" a="1"/>
  <c r="D136" i="1" s="1" a="1"/>
  <c r="E136" i="1" s="1" a="1"/>
  <c r="C137" i="1" s="1" a="1"/>
  <c r="D137" i="1" s="1" a="1"/>
  <c r="E137" i="1" s="1" a="1"/>
  <c r="C138" i="1" s="1" a="1"/>
  <c r="D138" i="1" s="1" a="1"/>
  <c r="E138" i="1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5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</futureMetadata>
  <cellMetadata count="1">
    <bk>
      <rc t="1" v="0"/>
    </bk>
  </cellMetadata>
  <valueMetadata count="35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sympy as sym
a = sym.Symbol('a')
b = sym.Symbol('b')
residual = 0
train_data = xl(%P2%)
for i in range(len(train_data)):
    x, y = train_data.iloc[i]
    residual += (a*x + b - y)**2
residual = residual / (2*len(train_data))
f'{residual}'</code>
    </pythonScript>
    <pythonScript>
      <code xml:space="preserve">yy = np.array(xl(%P2%))
f'{yy} - shape: {yy.shape}'
</code>
    </pythonScript>
    <pythonScript>
      <code>f'{sym.collect(sym.expand(residual, chop=True), [a,b])}'</code>
    </pythonScript>
    <pythonScript>
      <code>aa= np.array(xl(%P2%))
aa= np.hstack([aa, np.ones((len(aa),1))])
f'{aa} - shape: {aa.shape}'</code>
    </pythonScript>
    <pythonScript>
      <code>aa_t = aa.T
f'{aa_t} - {aa_t.shape}'</code>
    </pythonScript>
    <pythonScript>
      <code>r_diff_a = sym.diff(residual,a)
f'{r_diff_a}'</code>
    </pythonScript>
    <pythonScript>
      <code>aat_aa = np.matmul(aa_t, aa)
f'{aat_aa} - {aat_aa.shape}'</code>
    </pythonScript>
    <pythonScript>
      <code>xx = np.matmul(np.matmul(np.linalg.inv(aat_aa),aa_t),yy)
f'{xx}'</code>
    </pythonScript>
    <pythonScript>
      <code>r_diff_b = sym.diff(residual,b)
f'{r_diff_b}'</code>
    </pythonScript>
    <pythonScript>
      <code>import numpy as np
A = np.array([[float(r_diff_a.coeff(a)), float(r_diff_a.coeff(b))], [float(r_diff_b.coeff(a)), float(r_diff_b.coeff(b))]])
f'{A}'</code>
    </pythonScript>
    <pythonScript>
      <code>B = np.array([-r_diff_a.subs({a:0, b:0}), -r_diff_b.subs({a:0, b:0})])
f'{B}'</code>
    </pythonScript>
    <pythonScript>
      <code>X = np.matmul(np.linalg.inv(A),B)
f'{X}'</code>
    </pythonScript>
    <pythonScript>
      <code>float(residual.evalf(subs={a: xl(%P2%), b: xl(%P3%)}))</code>
    </pythonScript>
    <pythonScript>
      <code>float(xl(%P2%) - xl(%P3%)*r_diff_a.evalf(subs={a:xl(%P4%), b:xl(%P5%)}))</code>
    </pythonScript>
    <pythonScript>
      <code>float(xl(%P2%) - xl(%P3%)*r_diff_b.evalf(subs={a:xl(%P4%), b:xl(%P5%)}))</code>
    </pythonScript>
  </pythonScripts>
</python>
</file>

<file path=xl/sharedStrings.xml><?xml version="1.0" encoding="utf-8"?>
<sst xmlns="http://schemas.openxmlformats.org/spreadsheetml/2006/main" count="31" uniqueCount="24">
  <si>
    <t>index</t>
  </si>
  <si>
    <t>height</t>
  </si>
  <si>
    <t>weight</t>
  </si>
  <si>
    <t>A</t>
  </si>
  <si>
    <t>B</t>
  </si>
  <si>
    <t>C</t>
  </si>
  <si>
    <t>D</t>
  </si>
  <si>
    <t>E</t>
  </si>
  <si>
    <t>a</t>
  </si>
  <si>
    <t>b</t>
  </si>
  <si>
    <t>error</t>
  </si>
  <si>
    <t>pred</t>
  </si>
  <si>
    <t>Tinh toan residual</t>
  </si>
  <si>
    <t>diff(residual_a)</t>
  </si>
  <si>
    <t>diff(residual_b)</t>
  </si>
  <si>
    <t>lr</t>
  </si>
  <si>
    <t>X</t>
  </si>
  <si>
    <t>e</t>
  </si>
  <si>
    <t>Pseudo Inverse</t>
  </si>
  <si>
    <t>yy</t>
  </si>
  <si>
    <t>xx</t>
  </si>
  <si>
    <t>aa</t>
  </si>
  <si>
    <t>aa^T</t>
  </si>
  <si>
    <t>aa^T.aa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</si>
</sst>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SupportingPropertyBagStructure" Target="richData/rdsupportingpropertybagstructure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17/06/relationships/rdSupportingPropertyBag" Target="richData/rdsupportingpropertybag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58">
  <rv s="0">
    <fb t="s">(150*a + b - 45)**2/10 + (155*a + b - 50)**2/10 + (165*a + b - 55)**2/10 + (170*a + b - 65)**2/10 + (175*a + b - 70)**2/10</fb>
    <v>&lt;class 'str'&gt;</v>
    <v>str</v>
    <v>(150*a + b - 45)**2/10 + (155*a + b - 50)**2/10 + (165*a + b - 55)**2/10 + (170*a + b - 65)**2/10 + (175*a + b - 70)**2/10</v>
    <v>(150*a + b - 45)**2/10 + (155*a + b - 50)**2/10 + (165*a + b - 55)**2/10 + (170*a + b - 65)**2/10 + (175*a + b - 70)**2/10</v>
    <v>0</v>
  </rv>
  <rv s="0">
    <fb t="s">[[65]
 [50]
 [45]
 [70]
 [55]] - shape: (5, 1)</fb>
    <v>&lt;class 'str'&gt;</v>
    <v>str</v>
    <v>[[65]
 [50]
 [45]
 [70]
 [55]] - shape: (5, 1)</v>
    <v>[[65]
 [50]
 [45]
 [70]
 [55]] - shape: (5, 1)</v>
    <v>0</v>
  </rv>
  <rv s="0">
    <fb t="s">26655*a**2/2 + a*(163*b - 9375) + b**2/2 - 57*b + 3335/2</fb>
    <v>&lt;class 'str'&gt;</v>
    <v>str</v>
    <v>26655*a**2/2 + a*(163*b - 9375) + b**2/2 - 57*b + 3335/2</v>
    <v>26655*a**2/2 + a*(163*b - 9375) + b**2/2 - 57*b + 3335/2</v>
    <v>0</v>
  </rv>
  <rv s="0">
    <fb t="s">[[170.   1.]
 [155.   1.]
 [150.   1.]
 [175.   1.]
 [165.   1.]] - shape: (5, 2)</fb>
    <v>&lt;class 'str'&gt;</v>
    <v>str</v>
    <v>[[170.   1.]
 [155.   1.]
 [150.   1.]
 [175.   1.]
 [165.   1.]] - shape: (5, 2)</v>
    <v>[[170.   1.]
 [155.   1.]
 [150.   1.]
 [175.   1.]
 [165.   1.]] - shape: (5, 2)</v>
    <v>0</v>
  </rv>
  <rv s="0">
    <fb t="s">[[170. 155. 150. 175. 165.]
 [  1.   1.   1.   1.   1.]] - (2, 5)</fb>
    <v>&lt;class 'str'&gt;</v>
    <v>str</v>
    <v>[[170. 155. 150. 175. 165.]
 [  1.   1.   1.   1.   1.]] - (2, 5)</v>
    <v>[[170. 155. 150. 175. 165.]
 [  1.   1.   1.   1.   1.]] - (2, 5)</v>
    <v>0</v>
  </rv>
  <rv s="0">
    <fb t="s">26655*a + 163*b - 9375</fb>
    <v>&lt;class 'str'&gt;</v>
    <v>str</v>
    <v>26655*a + 163*b - 9375</v>
    <v>26655*a + 163*b - 9375</v>
    <v>0</v>
  </rv>
  <rv s="0">
    <fb t="s">[[1.33275e+05 8.15000e+02]
 [8.15000e+02 5.00000e+00]] - (2, 2)</fb>
    <v>&lt;class 'str'&gt;</v>
    <v>str</v>
    <v>[[1.33275e+05 8.15000e+02]
 [8.15000e+02 5.00000e+00]] - (2, 2)</v>
    <v>[[1.33275e+05 8.15000e+02]
 [8.15000e+02 5.00000e+00]] - (2, 2)</v>
    <v>0</v>
  </rv>
  <rv s="0">
    <fb t="s">[[   0.97674419]
 [-102.20930233]]</fb>
    <v>&lt;class 'str'&gt;</v>
    <v>str</v>
    <v>[[   0.97674419]
 [-102.20930233]]</v>
    <v>[[   0.97674419]
 [-102.20930233]]</v>
    <v>0</v>
  </rv>
  <rv s="0">
    <fb t="s">163*a + b - 57</fb>
    <v>&lt;class 'str'&gt;</v>
    <v>str</v>
    <v>163*a + b - 57</v>
    <v>163*a + b - 57</v>
    <v>0</v>
  </rv>
  <rv s="0">
    <fb t="s">[[2.6655e+04 1.6300e+02]
 [1.6300e+02 1.0000e+00]]</fb>
    <v>&lt;class 'str'&gt;</v>
    <v>str</v>
    <v>[[2.6655e+04 1.6300e+02]
 [1.6300e+02 1.0000e+00]]</v>
    <v>[[2.6655e+04 1.6300e+02]
 [1.6300e+02 1.0000e+00]]</v>
    <v>0</v>
  </rv>
  <rv s="0">
    <fb t="s">[9375 57]</fb>
    <v>&lt;class 'str'&gt;</v>
    <v>str</v>
    <v>[9375 57]</v>
    <v>[9375 57]</v>
    <v>0</v>
  </rv>
  <rv s="0">
    <fb t="s">[0.976744186046474 -102.209302325577]</fb>
    <v>&lt;class 'str'&gt;</v>
    <v>str</v>
    <v>[0.976744186046474 -102.209302325577]</v>
    <v>[0.976744186046474 -102.209302325577]</v>
    <v>0</v>
  </rv>
  <rv s="1">
    <fb>133968467.5</fb>
    <v>&lt;class 'float'&gt;</v>
    <v>float</v>
    <v>133968467.5</v>
    <v>133968467.5</v>
    <v>0</v>
  </rv>
  <rv s="1">
    <fb>73.275750000000002</fb>
    <v>&lt;class 'float'&gt;</v>
    <v>float</v>
    <v>73.27575</v>
    <v>73.275750000000002</v>
    <v>0</v>
  </rv>
  <rv s="1">
    <fb>99.836569999999995</fb>
    <v>&lt;class 'float'&gt;</v>
    <v>float</v>
    <v>99.83657</v>
    <v>99.836569999999995</v>
    <v>0</v>
  </rv>
  <rv s="1">
    <fb>72066262.438843593</fb>
    <v>&lt;class 'float'&gt;</v>
    <v>float</v>
    <v>72066262.4388436</v>
    <v>72066262.438843593</v>
    <v>0</v>
  </rv>
  <rv s="1">
    <fb>53.675115228400003</fb>
    <v>&lt;class 'float'&gt;</v>
    <v>float</v>
    <v>53.6751152284</v>
    <v>53.675115228400003</v>
    <v>0</v>
  </rv>
  <rv s="1">
    <fb>99.716702161800001</fb>
    <v>&lt;class 'float'&gt;</v>
    <v>float</v>
    <v>99.7167021618</v>
    <v>99.716702161800001</v>
    <v>0</v>
  </rv>
  <rv s="1">
    <fb>38766944.271545984</fb>
    <v>&lt;class 'float'&gt;</v>
    <v>float</v>
    <v>38766944.271545984</v>
    <v>38766944.271545984</v>
    <v>0</v>
  </rv>
  <rv s="1">
    <fb>39.299225039746247</fb>
    <v>&lt;class 'float'&gt;</v>
    <v>float</v>
    <v>39.29922503974625</v>
    <v>39.299225039746247</v>
    <v>0</v>
  </rv>
  <rv s="1">
    <fb>99.628784556956091</fb>
    <v>&lt;class 'float'&gt;</v>
    <v>float</v>
    <v>99.62878455695609</v>
    <v>99.628784556956091</v>
    <v>0</v>
  </rv>
  <rv s="1">
    <fb>20854099.497898787</fb>
    <v>&lt;class 'float'&gt;</v>
    <v>float</v>
    <v>20854099.497898787</v>
    <v>20854099.497898787</v>
    <v>0</v>
  </rv>
  <rv s="1">
    <fb>28.755371686574044</fb>
    <v>&lt;class 'float'&gt;</v>
    <v>float</v>
    <v>28.755371686574044</v>
    <v>28.755371686574044</v>
    <v>0</v>
  </rv>
  <rv s="1">
    <fb>99.564300532295732</fb>
    <v>&lt;class 'float'&gt;</v>
    <v>float</v>
    <v>99.56430053229573</v>
    <v>99.564300532295732</v>
    <v>0</v>
  </rv>
  <rv s="1">
    <fb>11218166.225249147</fb>
    <v>&lt;class 'float'&gt;</v>
    <v>float</v>
    <v>11218166.225249147</v>
    <v>11218166.225249147</v>
    <v>0</v>
  </rv>
  <rv s="1">
    <fb>21.022087553650088</fb>
    <v>&lt;class 'float'&gt;</v>
    <v>float</v>
    <v>21.02208755365009</v>
    <v>21.022087553650088</v>
    <v>0</v>
  </rv>
  <rv s="1">
    <fb>99.517003633441291</fb>
    <v>&lt;class 'float'&gt;</v>
    <v>float</v>
    <v>99.51700363344129</v>
    <v>99.517003633441291</v>
    <v>0</v>
  </rv>
  <rv s="1">
    <fb>6034667.3891752549</fb>
    <v>&lt;class 'float'&gt;</v>
    <v>float</v>
    <v>6034667.389175255</v>
    <v>6034667.3891752549</v>
    <v>0</v>
  </rv>
  <rv s="1">
    <fb>15.350187400302147</fb>
    <v>&lt;class 'float'&gt;</v>
    <v>float</v>
    <v>15.350187400302147</v>
    <v>15.350187400302147</v>
    <v>0</v>
  </rv>
  <rv s="1">
    <fb>99.482312460692512</fb>
    <v>&lt;class 'float'&gt;</v>
    <v>float</v>
    <v>99.48231246069251</v>
    <v>99.482312460692512</v>
    <v>0</v>
  </rv>
  <rv s="1">
    <fb>3246285.6701100809</fb>
    <v>&lt;class 'float'&gt;</v>
    <v>float</v>
    <v>3246285.670110081</v>
    <v>3246285.6701100809</v>
    <v>0</v>
  </rv>
  <rv s="1">
    <fb>11.190188779440682</fb>
    <v>&lt;class 'float'&gt;</v>
    <v>float</v>
    <v>11.190188779440682</v>
    <v>11.190188779440682</v>
    <v>0</v>
  </rv>
  <rv s="1">
    <fb>99.456866832105419</fb>
    <v>&lt;class 'float'&gt;</v>
    <v>float</v>
    <v>99.45686683210542</v>
    <v>99.456866832105419</v>
    <v>0</v>
  </rv>
  <rv s="1">
    <fb>1746319.5551161091</fb>
    <v>&lt;class 'float'&gt;</v>
    <v>float</v>
    <v>1746319.555116109</v>
    <v>1746319.5551161091</v>
    <v>0</v>
  </rv>
  <rv s="1">
    <fb>8.1390792673444352</fb>
    <v>&lt;class 'float'&gt;</v>
    <v>float</v>
    <v>8.139079267344435</v>
    <v>8.1390792673444352</v>
    <v>0</v>
  </rv>
  <rv s="1">
    <fb>99.438202255726608</fb>
    <v>&lt;class 'float'&gt;</v>
    <v>float</v>
    <v>99.43820225572661</v>
    <v>99.438202255726608</v>
    <v>0</v>
  </rv>
  <rv s="1">
    <fb>939436.36163177993</fb>
    <v>&lt;class 'float'&gt;</v>
    <v>float</v>
    <v>939436.3616317799</v>
    <v>939436.36163177993</v>
    <v>0</v>
  </rv>
  <rv s="1">
    <fb>5.9012734189569418</fb>
    <v>&lt;class 'float'&gt;</v>
    <v>float</v>
    <v>5.901273418956942</v>
    <v>5.9012734189569418</v>
    <v>0</v>
  </rv>
  <rv s="1">
    <fb>99.424511174498278</fb>
    <v>&lt;class 'float'&gt;</v>
    <v>float</v>
    <v>99.42451117449828</v>
    <v>99.424511174498278</v>
    <v>0</v>
  </rv>
  <rv s="1">
    <fb>505386.23115170596</fb>
    <v>&lt;class 'float'&gt;</v>
    <v>float</v>
    <v>505386.23115170596</v>
    <v>505386.23115170596</v>
    <v>0</v>
  </rv>
  <rv s="1">
    <fb>4.2599770359195368</fb>
    <v>&lt;class 'float'&gt;</v>
    <v>float</v>
    <v>4.259977035919537</v>
    <v>4.2599770359195368</v>
    <v>0</v>
  </rv>
  <rv s="1">
    <fb>99.414467853713631</fb>
    <v>&lt;class 'float'&gt;</v>
    <v>float</v>
    <v>99.41446785371363</v>
    <v>99.414467853713631</v>
    <v>0</v>
  </rv>
  <rv s="1">
    <fb>271895.78632419556</fb>
    <v>&lt;class 'float'&gt;</v>
    <v>float</v>
    <v>271895.78632419556</v>
    <v>271895.78632419556</v>
    <v>0</v>
  </rv>
  <rv s="1">
    <fb>3.0561845743936309</fb>
    <v>&lt;class 'float'&gt;</v>
    <v>float</v>
    <v>3.056184574393631</v>
    <v>3.0561845743936309</v>
    <v>0</v>
  </rv>
  <rv s="1">
    <fb>99.407099946466545</fb>
    <v>&lt;class 'float'&gt;</v>
    <v>float</v>
    <v>99.40709994646654</v>
    <v>99.407099946466545</v>
    <v>0</v>
  </rv>
  <rv s="1">
    <fb>146293.27178090476</fb>
    <v>&lt;class 'float'&gt;</v>
    <v>float</v>
    <v>146293.27178090476</v>
    <v>146293.27178090476</v>
    <v>0</v>
  </rv>
  <rv s="1">
    <fb>2.173275003176268</fb>
    <v>&lt;class 'float'&gt;</v>
    <v>float</v>
    <v>2.173275003176268</v>
    <v>2.173275003176268</v>
    <v>0</v>
  </rv>
  <rv s="1">
    <fb>99.40169429461082</fb>
    <v>&lt;class 'float'&gt;</v>
    <v>float</v>
    <v>99.40169429461082</v>
    <v>99.40169429461082</v>
    <v>0</v>
  </rv>
  <rv s="1">
    <fb>78727.373435630405</fb>
    <v>&lt;class 'float'&gt;</v>
    <v>float</v>
    <v>78727.3734356304</v>
    <v>78727.373435630405</v>
    <v>0</v>
  </rv>
  <rv s="1">
    <fb>1.5257137893794179</fb>
    <v>&lt;class 'float'&gt;</v>
    <v>float</v>
    <v>1.525713789379418</v>
    <v>1.5257137893794179</v>
    <v>0</v>
  </rv>
  <rv s="1">
    <fb>99.397727839412696</fb>
    <v>&lt;class 'float'&gt;</v>
    <v>float</v>
    <v>99.3977278394127</v>
    <v>99.397727839412696</v>
    <v>0</v>
  </rv>
  <rv s="1">
    <fb>42381.360492203647</fb>
    <v>&lt;class 'float'&gt;</v>
    <v>float</v>
    <v>42381.36049220365</v>
    <v>42381.360492203647</v>
    <v>0</v>
  </rv>
  <rv s="1">
    <fb>1.0507664824420913</fb>
    <v>&lt;class 'float'&gt;</v>
    <v>float</v>
    <v>1.0507664824420913</v>
    <v>1.0507664824420913</v>
    <v>0</v>
  </rv>
  <rv s="1">
    <fb>99.394816948657606</fb>
    <v>&lt;class 'float'&gt;</v>
    <v>float</v>
    <v>99.3948169486576</v>
    <v>99.394816948657606</v>
    <v>0</v>
  </rv>
  <rv s="1">
    <fb>22829.594153006183</fb>
    <v>&lt;class 'float'&gt;</v>
    <v>float</v>
    <v>22829.594153006183</v>
    <v>22829.594153006183</v>
    <v>0</v>
  </rv>
  <rv s="1">
    <fb>0.70242112492083986</fb>
    <v>&lt;class 'float'&gt;</v>
    <v>float</v>
    <v>0.7024211249208399</v>
    <v>0.70242112492083986</v>
    <v>0</v>
  </rv>
  <rv s="1">
    <fb>99.392680251121746</fb>
    <v>&lt;class 'float'&gt;</v>
    <v>float</v>
    <v>99.39268025112175</v>
    <v>99.392680251121746</v>
    <v>0</v>
  </rv>
  <rv s="1">
    <fb>12312.028784545653</fb>
    <v>&lt;class 'float'&gt;</v>
    <v>float</v>
    <v>12312.028784545653</v>
    <v>12312.028784545653</v>
    <v>0</v>
  </rv>
  <rv s="1">
    <fb>0.44693070526386153</fb>
    <v>&lt;class 'float'&gt;</v>
    <v>float</v>
    <v>0.4469307052638615</v>
    <v>0.44693070526386153</v>
    <v>0</v>
  </rv>
  <rv s="1">
    <fb>99.391111377885608</fb>
    <v>&lt;class 'float'&gt;</v>
    <v>float</v>
    <v>99.39111137788561</v>
    <v>99.391111377885608</v>
    <v>0</v>
  </rv>
  <rv s="1">
    <fb>6654.2698190178107</fb>
    <v>&lt;class 'float'&gt;</v>
    <v>float</v>
    <v>6654.269819017811</v>
    <v>6654.2698190178107</v>
    <v>0</v>
  </rv>
  <rv s="1">
    <fb>0.25954381422982564</fb>
    <v>&lt;class 'float'&gt;</v>
    <v>float</v>
    <v>0.25954381422982564</v>
    <v>0.25954381422982564</v>
    <v>0</v>
  </rv>
  <rv s="1">
    <fb>99.389958969722244</fb>
    <v>&lt;class 'float'&gt;</v>
    <v>float</v>
    <v>99.38995896972224</v>
    <v>99.389958969722244</v>
    <v>0</v>
  </rv>
  <rv s="1">
    <fb>3610.7673162902461</fb>
    <v>&lt;class 'float'&gt;</v>
    <v>float</v>
    <v>3610.767316290246</v>
    <v>3610.7673162902461</v>
    <v>0</v>
  </rv>
  <rv s="1">
    <fb>0.12210677742621834</fb>
    <v>&lt;class 'float'&gt;</v>
    <v>float</v>
    <v>0.12210677742621834</v>
    <v>0.12210677742621834</v>
    <v>0</v>
  </rv>
  <rv s="1">
    <fb>99.389112013715348</fb>
    <v>&lt;class 'float'&gt;</v>
    <v>float</v>
    <v>99.38911201371535</v>
    <v>99.389112013715348</v>
    <v>0</v>
  </rv>
  <rv s="1">
    <fb>1973.562984034819</fb>
    <v>&lt;class 'float'&gt;</v>
    <v>float</v>
    <v>1973.562984034819</v>
    <v>1973.562984034819</v>
    <v>0</v>
  </rv>
  <rv s="1">
    <fb>2.1304963320903814E-2</fb>
    <v>&lt;class 'float'&gt;</v>
    <v>float</v>
    <v>0.021304963320903814</v>
    <v>2.1304963320903814E-2</v>
    <v>0</v>
  </rv>
  <rv s="1">
    <fb>99.388489088547999</fb>
    <v>&lt;class 'float'&gt;</v>
    <v>float</v>
    <v>99.388489088548</v>
    <v>99.388489088547999</v>
    <v>0</v>
  </rv>
  <rv s="1">
    <fb>1092.8546468796133</fb>
    <v>&lt;class 'float'&gt;</v>
    <v>float</v>
    <v>1092.8546468796133</v>
    <v>1092.8546468796133</v>
    <v>0</v>
  </rv>
  <rv s="1">
    <fb>-5.2627111866616338E-2</fb>
    <v>&lt;class 'float'&gt;</v>
    <v>float</v>
    <v>-0.05262711186661634</v>
    <v>-5.2627111866616338E-2</v>
    <v>0</v>
  </rv>
  <rv s="1">
    <fb>99.388030476566897</fb>
    <v>&lt;class 'float'&gt;</v>
    <v>float</v>
    <v>99.3880304765669</v>
    <v>99.388030476566897</v>
    <v>0</v>
  </rv>
  <rv s="1">
    <fb>619.09143887190578</fb>
    <v>&lt;class 'float'&gt;</v>
    <v>float</v>
    <v>619.0914388719058</v>
    <v>619.09143887190578</v>
    <v>0</v>
  </rv>
  <rv s="1">
    <fb>-0.1068518448753738</fb>
    <v>&lt;class 'float'&gt;</v>
    <v>float</v>
    <v>-0.1068518448753738</v>
    <v>-0.1068518448753738</v>
    <v>0</v>
  </rv>
  <rv s="1">
    <fb>99.387692378454474</fb>
    <v>&lt;class 'float'&gt;</v>
    <v>float</v>
    <v>99.38769237845447</v>
    <v>99.387692378454474</v>
    <v>0</v>
  </rv>
  <rv s="1">
    <fb>364.23796628842155</fb>
    <v>&lt;class 'float'&gt;</v>
    <v>float</v>
    <v>364.23796628842155</v>
    <v>364.23796628842155</v>
    <v>0</v>
  </rv>
  <rv s="1">
    <fb>-0.14662242420072372</fb>
    <v>&lt;class 'float'&gt;</v>
    <v>float</v>
    <v>-0.14662242420072372</v>
    <v>-0.14662242420072372</v>
    <v>0</v>
  </rv>
  <rv s="1">
    <fb>99.387442670037842</fb>
    <v>&lt;class 'float'&gt;</v>
    <v>float</v>
    <v>99.38744267003784</v>
    <v>99.387442670037842</v>
    <v>0</v>
  </rv>
  <rv s="1">
    <fb>227.14354481802783</fb>
    <v>&lt;class 'float'&gt;</v>
    <v>float</v>
    <v>227.14354481802783</v>
    <v>227.14354481802783</v>
    <v>0</v>
  </rv>
  <rv s="1">
    <fb>-0.17579174858218249</fb>
    <v>&lt;class 'float'&gt;</v>
    <v>float</v>
    <v>-0.1757917485821825</v>
    <v>-0.17579174858218249</v>
    <v>0</v>
  </rv>
  <rv s="1">
    <fb>99.387257790162593</fb>
    <v>&lt;class 'float'&gt;</v>
    <v>float</v>
    <v>99.3872577901626</v>
    <v>99.387257790162593</v>
    <v>0</v>
  </rv>
  <rv s="1">
    <fb>153.39575383066102</fb>
    <v>&lt;class 'float'&gt;</v>
    <v>float</v>
    <v>153.39575383066102</v>
    <v>153.39575383066102</v>
    <v>0</v>
  </rv>
  <rv s="1">
    <fb>-0.19718568819556678</fb>
    <v>&lt;class 'float'&gt;</v>
    <v>float</v>
    <v>-0.19718568819556678</v>
    <v>-0.19718568819556678</v>
    <v>0</v>
  </rv>
  <rv s="1">
    <fb>99.387120458134874</fb>
    <v>&lt;class 'float'&gt;</v>
    <v>float</v>
    <v>99.38712045813487</v>
    <v>99.387120458134874</v>
    <v>0</v>
  </rv>
  <rv s="1">
    <fb>113.72428696125473</fb>
    <v>&lt;class 'float'&gt;</v>
    <v>float</v>
    <v>113.72428696125473</v>
    <v>113.72428696125473</v>
    <v>0</v>
  </rv>
  <rv s="1">
    <fb>-0.2128768493537983</fb>
    <v>&lt;class 'float'&gt;</v>
    <v>float</v>
    <v>-0.2128768493537983</v>
    <v>-0.2128768493537983</v>
    <v>0</v>
  </rv>
  <rv s="1">
    <fb>99.387017999602051</fb>
    <v>&lt;class 'float'&gt;</v>
    <v>float</v>
    <v>99.38701799960205</v>
    <v>99.387017999602051</v>
    <v>0</v>
  </rv>
  <rv s="1">
    <fb>92.383643002838951</fb>
    <v>&lt;class 'float'&gt;</v>
    <v>float</v>
    <v>92.38364300283895</v>
    <v>92.383643002838951</v>
    <v>0</v>
  </rv>
  <rv s="1">
    <fb>-0.2243853644978947</fb>
    <v>&lt;class 'float'&gt;</v>
    <v>float</v>
    <v>-0.2243853644978947</v>
    <v>-0.2243853644978947</v>
    <v>0</v>
  </rv>
  <rv s="1">
    <fb>99.386941118686508</fb>
    <v>&lt;class 'float'&gt;</v>
    <v>float</v>
    <v>99.38694111868651</v>
    <v>99.386941118686508</v>
    <v>0</v>
  </rv>
  <rv s="1">
    <fb>80.903777085825439</fb>
    <v>&lt;class 'float'&gt;</v>
    <v>float</v>
    <v>80.90377708582544</v>
    <v>80.903777085825439</v>
    <v>0</v>
  </rv>
  <rv s="1">
    <fb>-0.23282615961443986</fb>
    <v>&lt;class 'float'&gt;</v>
    <v>float</v>
    <v>-0.23282615961443986</v>
    <v>-0.23282615961443986</v>
    <v>0</v>
  </rv>
  <rv s="1">
    <fb>99.386882997419448</fb>
    <v>&lt;class 'float'&gt;</v>
    <v>float</v>
    <v>99.38688299741945</v>
    <v>99.386882997419448</v>
    <v>0</v>
  </rv>
  <rv s="1">
    <fb>74.728361713882762</fb>
    <v>&lt;class 'float'&gt;</v>
    <v>float</v>
    <v>74.72836171388276</v>
    <v>74.728361713882762</v>
    <v>0</v>
  </rv>
  <rv s="1">
    <fb>-0.23901696605500461</fb>
    <v>&lt;class 'float'&gt;</v>
    <v>float</v>
    <v>-0.2390169660550046</v>
    <v>-0.23901696605500461</v>
    <v>0</v>
  </rv>
  <rv s="1">
    <fb>99.386838635229651</fb>
    <v>&lt;class 'float'&gt;</v>
    <v>float</v>
    <v>99.38683863522965</v>
    <v>99.386838635229651</v>
    <v>0</v>
  </rv>
  <rv s="1">
    <fb>71.40639213160955</fb>
    <v>&lt;class 'float'&gt;</v>
    <v>float</v>
    <v>71.40639213160955</v>
    <v>71.40639213160955</v>
    <v>0</v>
  </rv>
  <rv s="1">
    <fb>-0.24355754072846747</fb>
    <v>&lt;class 'float'&gt;</v>
    <v>float</v>
    <v>-0.24355754072846747</v>
    <v>-0.24355754072846747</v>
    <v>0</v>
  </rv>
  <rv s="1">
    <fb>99.386804364497962</fb>
    <v>&lt;class 'float'&gt;</v>
    <v>float</v>
    <v>99.38680436449796</v>
    <v>99.386804364497962</v>
    <v>0</v>
  </rv>
  <rv s="1">
    <fb>69.619388858363038</fb>
    <v>&lt;class 'float'&gt;</v>
    <v>float</v>
    <v>69.61938885836304</v>
    <v>69.619388858363038</v>
    <v>0</v>
  </rv>
  <rv s="1">
    <fb>-0.24688776936142615</fb>
    <v>&lt;class 'float'&gt;</v>
    <v>float</v>
    <v>-0.24688776936142615</v>
    <v>-0.24688776936142615</v>
    <v>0</v>
  </rv>
  <rv s="1">
    <fb>99.38677749524571</fb>
    <v>&lt;class 'float'&gt;</v>
    <v>float</v>
    <v>99.38677749524571</v>
    <v>99.38677749524571</v>
    <v>0</v>
  </rv>
  <rv s="1">
    <fb>68.658096582808341</fb>
    <v>&lt;class 'float'&gt;</v>
    <v>float</v>
    <v>68.65809658280834</v>
    <v>68.658096582808341</v>
    <v>0</v>
  </rv>
  <rv s="1">
    <fb>-0.24933028175538852</fb>
    <v>&lt;class 'float'&gt;</v>
    <v>float</v>
    <v>-0.24933028175538852</v>
    <v>-0.24933028175538852</v>
    <v>0</v>
  </rv>
  <rv s="1">
    <fb>99.386756054534814</fb>
    <v>&lt;class 'float'&gt;</v>
    <v>float</v>
    <v>99.38675605453481</v>
    <v>99.386756054534814</v>
    <v>0</v>
  </rv>
  <rv s="1">
    <fb>68.140982559049618</fb>
    <v>&lt;class 'float'&gt;</v>
    <v>float</v>
    <v>68.14098255904962</v>
    <v>68.140982559049618</v>
    <v>0</v>
  </rv>
  <rv s="1">
    <fb>-0.25112170752238144</fb>
    <v>&lt;class 'float'&gt;</v>
    <v>float</v>
    <v>-0.25112170752238144</v>
    <v>-0.25112170752238144</v>
    <v>0</v>
  </rv>
  <rv s="1">
    <fb>99.386738595333526</fb>
    <v>&lt;class 'float'&gt;</v>
    <v>float</v>
    <v>99.38673859533353</v>
    <v>99.386738595333526</v>
    <v>0</v>
  </rv>
  <rv s="1">
    <fb>67.862807243773787</fb>
    <v>&lt;class 'float'&gt;</v>
    <v>float</v>
    <v>67.86280724377379</v>
    <v>67.862807243773787</v>
    <v>0</v>
  </rv>
  <rv s="1">
    <fb>-0.2524356002926843</fb>
    <v>&lt;class 'float'&gt;</v>
    <v>float</v>
    <v>-0.2524356002926843</v>
    <v>-0.2524356002926843</v>
    <v>0</v>
  </rv>
  <rv s="1">
    <fb>99.386724056330834</fb>
    <v>&lt;class 'float'&gt;</v>
    <v>float</v>
    <v>99.38672405633083</v>
    <v>99.386724056330834</v>
    <v>0</v>
  </rv>
  <rv s="1">
    <fb>67.713165250831182</fb>
    <v>&lt;class 'float'&gt;</v>
    <v>float</v>
    <v>67.71316525083118</v>
    <v>67.713165250831182</v>
    <v>0</v>
  </rv>
  <rv s="1">
    <fb>-0.25339925124648854</fb>
    <v>&lt;class 'float'&gt;</v>
    <v>float</v>
    <v>-0.25339925124648854</v>
    <v>-0.25339925124648854</v>
    <v>0</v>
  </rv>
  <rv s="1">
    <fb>99.386711659118745</fb>
    <v>&lt;class 'float'&gt;</v>
    <v>float</v>
    <v>99.38671165911875</v>
    <v>99.386711659118745</v>
    <v>0</v>
  </rv>
  <rv s="1">
    <fb>67.632665738213021</fb>
    <v>&lt;class 'float'&gt;</v>
    <v>float</v>
    <v>67.63266573821302</v>
    <v>67.632665738213021</v>
    <v>0</v>
  </rv>
  <rv s="1">
    <fb>-0.25410602083110057</fb>
    <v>&lt;class 'float'&gt;</v>
    <v>float</v>
    <v>-0.25410602083110057</v>
    <v>-0.25410602083110057</v>
    <v>0</v>
  </rv>
  <rv s="1">
    <fb>99.386700832781685</fb>
    <v>&lt;class 'float'&gt;</v>
    <v>float</v>
    <v>99.38670083278168</v>
    <v>99.386700832781685</v>
    <v>0</v>
  </rv>
  <rv s="1">
    <fb>67.589360336029742</fb>
    <v>&lt;class 'float'&gt;</v>
    <v>float</v>
    <v>67.58936033602974</v>
    <v>67.589360336029742</v>
    <v>0</v>
  </rv>
  <rv s="1">
    <fb>-0.25462438333600484</fb>
    <v>&lt;class 'float'&gt;</v>
    <v>float</v>
    <v>-0.25462438333600484</v>
    <v>-0.25462438333600484</v>
    <v>0</v>
  </rv>
  <rv s="1">
    <fb>99.386691158587311</fb>
    <v>&lt;class 'float'&gt;</v>
    <v>float</v>
    <v>99.38669115858731</v>
    <v>99.386691158587311</v>
    <v>0</v>
  </rv>
  <rv s="1">
    <fb>67.566062920898062</fb>
    <v>&lt;class 'float'&gt;</v>
    <v>float</v>
    <v>67.56606292089806</v>
    <v>67.566062920898062</v>
    <v>0</v>
  </rv>
  <rv s="1">
    <fb>-0.25500456054629006</fb>
    <v>&lt;class 'float'&gt;</v>
    <v>float</v>
    <v>-0.25500456054629006</v>
    <v>-0.25500456054629006</v>
    <v>0</v>
  </rv>
  <rv s="1">
    <fb>99.386682329420566</fb>
    <v>&lt;class 'float'&gt;</v>
    <v>float</v>
    <v>99.38668232942057</v>
    <v>99.386682329420566</v>
    <v>0</v>
  </rv>
  <rv s="1">
    <fb>67.553528487893871</fb>
    <v>&lt;class 'float'&gt;</v>
    <v>float</v>
    <v>67.55352848789387</v>
    <v>67.553528487893871</v>
    <v>0</v>
  </rv>
  <rv s="1">
    <fb>-0.25528338712963194</fb>
    <v>&lt;class 'float'&gt;</v>
    <v>float</v>
    <v>-0.25528338712963194</v>
    <v>-0.25528338712963194</v>
    <v>0</v>
  </rv>
  <rv s="1">
    <fb>99.38667412003096</fb>
    <v>&lt;class 'float'&gt;</v>
    <v>float</v>
    <v>99.38667412003096</v>
    <v>99.38667412003096</v>
    <v>0</v>
  </rv>
  <rv s="1">
    <fb>67.546783831941184</fb>
    <v>&lt;class 'float'&gt;</v>
    <v>float</v>
    <v>67.54678383194118</v>
    <v>67.546783831941184</v>
    <v>0</v>
  </rv>
  <rv s="1">
    <fb>-0.255487879105879</fb>
    <v>&lt;class 'float'&gt;</v>
    <v>float</v>
    <v>-0.255487879105879</v>
    <v>-0.255487879105879</v>
    <v>0</v>
  </rv>
  <rv s="1">
    <fb>99.386666365210786</fb>
    <v>&lt;class 'float'&gt;</v>
    <v>float</v>
    <v>99.38666636521079</v>
    <v>99.386666365210786</v>
    <v>0</v>
  </rv>
  <rv s="1">
    <fb>67.543153695543552</fb>
    <v>&lt;class 'float'&gt;</v>
    <v>float</v>
    <v>67.54315369554355</v>
    <v>67.543153695543552</v>
    <v>0</v>
  </rv>
  <rv s="1">
    <fb>-0.25563785110550052</fb>
    <v>&lt;class 'float'&gt;</v>
    <v>float</v>
    <v>-0.2556378511055005</v>
    <v>-0.25563785110550052</v>
    <v>0</v>
  </rv>
  <rv s="1">
    <fb>99.386658943790081</fb>
    <v>&lt;class 'float'&gt;</v>
    <v>float</v>
    <v>99.38665894379008</v>
    <v>99.386658943790081</v>
    <v>0</v>
  </rv>
  <rv s="1">
    <fb>67.541198965983313</fb>
    <v>&lt;class 'float'&gt;</v>
    <v>float</v>
    <v>67.54119896598331</v>
    <v>67.541198965983313</v>
    <v>0</v>
  </rv>
  <rv s="1">
    <fb>-0.25574783597170719</fb>
    <v>&lt;class 'float'&gt;</v>
    <v>float</v>
    <v>-0.2557478359717072</v>
    <v>-0.25574783597170719</v>
    <v>0</v>
  </rv>
  <rv s="1">
    <fb>99.386651766897941</fb>
    <v>&lt;class 'float'&gt;</v>
    <v>float</v>
    <v>99.38665176689794</v>
    <v>99.386651766897941</v>
    <v>0</v>
  </rv>
  <rv s="1">
    <fb>67.540145495195517</fb>
    <v>&lt;class 'float'&gt;</v>
    <v>float</v>
    <v>67.54014549519552</v>
    <v>67.540145495195517</v>
    <v>0</v>
  </rv>
  <rv s="1">
    <fb>-0.25582849267349228</fb>
    <v>&lt;class 'float'&gt;</v>
    <v>float</v>
    <v>-0.2558284926734923</v>
    <v>-0.25582849267349228</v>
    <v>0</v>
  </rv>
  <rv s="1">
    <fb>99.386644769352912</fb>
    <v>&lt;class 'float'&gt;</v>
    <v>float</v>
    <v>99.38664476935291</v>
    <v>99.386644769352912</v>
    <v>0</v>
  </rv>
  <rv s="1">
    <fb>67.539576842397565</fb>
    <v>&lt;class 'float'&gt;</v>
    <v>float</v>
    <v>67.53957684239757</v>
    <v>67.539576842397565</v>
    <v>0</v>
  </rv>
  <rv s="1">
    <fb>-0.25588763892541816</fb>
    <v>&lt;class 'float'&gt;</v>
    <v>float</v>
    <v>-0.25588763892541816</v>
    <v>-0.25588763892541816</v>
    <v>0</v>
  </rv>
  <rv s="1">
    <fb>99.386637903348273</fb>
    <v>&lt;class 'float'&gt;</v>
    <v>float</v>
    <v>99.38663790334827</v>
    <v>99.386637903348273</v>
    <v>0</v>
  </rv>
  <rv s="1">
    <fb>67.539268989816449</fb>
    <v>&lt;class 'float'&gt;</v>
    <v>float</v>
    <v>67.53926898981645</v>
    <v>67.539268989816449</v>
    <v>0</v>
  </rv>
  <rv s="1">
    <fb>-0.25593100855230566</fb>
    <v>&lt;class 'float'&gt;</v>
    <v>float</v>
    <v>-0.25593100855230566</v>
    <v>-0.25593100855230566</v>
    <v>0</v>
  </rv>
  <rv s="1">
    <fb>99.386631133820686</fb>
    <v>&lt;class 'float'&gt;</v>
    <v>float</v>
    <v>99.38663113382069</v>
    <v>99.386631133820686</v>
    <v>0</v>
  </rv>
  <rv s="1">
    <fb>67.53910143061259</fb>
    <v>&lt;class 'float'&gt;</v>
    <v>float</v>
    <v>67.53910143061259</v>
    <v>67.53910143061259</v>
    <v>0</v>
  </rv>
  <rv s="1">
    <fb>-0.2559628069708163</fb>
    <v>&lt;class 'float'&gt;</v>
    <v>float</v>
    <v>-0.2559628069708163</v>
    <v>-0.2559628069708163</v>
    <v>0</v>
  </rv>
  <rv s="1">
    <fb>99.386624435053292</fb>
    <v>&lt;class 'float'&gt;</v>
    <v>float</v>
    <v>99.38662443505329</v>
    <v>99.386624435053292</v>
    <v>0</v>
  </rv>
  <rv s="1">
    <fb>67.539009340025871</fb>
    <v>&lt;class 'float'&gt;</v>
    <v>float</v>
    <v>67.53900934002587</v>
    <v>67.539009340025871</v>
    <v>0</v>
  </rv>
  <rv s="1">
    <fb>-0.25598611860188208</fb>
    <v>&lt;class 'float'&gt;</v>
    <v>float</v>
    <v>-0.2559861186018821</v>
    <v>-0.25598611860188208</v>
    <v>0</v>
  </rv>
  <rv s="1">
    <fb>99.38661778818431</fb>
    <v>&lt;class 'float'&gt;</v>
    <v>float</v>
    <v>99.38661778818431</v>
    <v>99.38661778818431</v>
    <v>0</v>
  </rv>
  <rv s="1">
    <fb>67.538957846595565</fb>
    <v>&lt;class 'float'&gt;</v>
    <v>float</v>
    <v>67.53895784659557</v>
    <v>67.538957846595565</v>
    <v>0</v>
  </rv>
  <rv s="1">
    <fb>-0.25600320568329082</fb>
    <v>&lt;class 'float'&gt;</v>
    <v>float</v>
    <v>-0.2560032056832908</v>
    <v>-0.25600320568329082</v>
    <v>0</v>
  </rv>
  <rv s="1">
    <fb>99.386611179379756</fb>
    <v>&lt;class 'float'&gt;</v>
    <v>float</v>
    <v>99.38661117937976</v>
    <v>99.386611179379756</v>
    <v>0</v>
  </rv>
  <rv s="1">
    <fb>67.538928191767525</fb>
    <v>&lt;class 'float'&gt;</v>
    <v>float</v>
    <v>67.53892819176752</v>
    <v>67.538928191767525</v>
    <v>0</v>
  </rv>
  <rv s="1">
    <fb>-0.25601572743079865</fb>
    <v>&lt;class 'float'&gt;</v>
    <v>float</v>
    <v>-0.25601572743079865</v>
    <v>-0.25601572743079865</v>
    <v>0</v>
  </rv>
  <rv s="1">
    <fb>99.386604598493221</fb>
    <v>&lt;class 'float'&gt;</v>
    <v>float</v>
    <v>99.38660459849322</v>
    <v>99.386604598493221</v>
    <v>0</v>
  </rv>
  <rv s="1">
    <fb>67.538910284672426</fb>
    <v>&lt;class 'float'&gt;</v>
    <v>float</v>
    <v>67.53891028467243</v>
    <v>67.538910284672426</v>
    <v>0</v>
  </rv>
  <rv s="1">
    <fb>-0.25602490077966322</fb>
    <v>&lt;class 'float'&gt;</v>
    <v>float</v>
    <v>-0.2560249007796632</v>
    <v>-0.25602490077966322</v>
    <v>0</v>
  </rv>
  <rv s="1">
    <fb>99.386598038082951</fb>
    <v>&lt;class 'float'&gt;</v>
    <v>float</v>
    <v>99.38659803808295</v>
    <v>99.386598038082951</v>
    <v>0</v>
  </rv>
  <rv s="1">
    <fb>67.538898697085713</fb>
    <v>&lt;class 'float'&gt;</v>
    <v>float</v>
    <v>67.53889869708571</v>
    <v>67.538898697085713</v>
    <v>0</v>
  </rv>
  <rv s="1">
    <fb>-0.25603161827891918</fb>
    <v>&lt;class 'float'&gt;</v>
    <v>float</v>
    <v>-0.2560316182789192</v>
    <v>-0.25603161827891918</v>
    <v>0</v>
  </rv>
  <rv s="1">
    <fb>99.38659149269084</fb>
    <v>&lt;class 'float'&gt;</v>
    <v>float</v>
    <v>99.38659149269084</v>
    <v>99.38659149269084</v>
    <v>0</v>
  </rv>
  <rv s="1">
    <fb>67.538890508979335</fb>
    <v>&lt;class 'float'&gt;</v>
    <v>float</v>
    <v>67.53889050897934</v>
    <v>67.538890508979335</v>
    <v>0</v>
  </rv>
  <rv s="1">
    <fb>-0.25603653455975933</fb>
    <v>&lt;class 'float'&gt;</v>
    <v>float</v>
    <v>-0.25603653455975933</v>
    <v>-0.25603653455975933</v>
    <v>0</v>
  </rv>
  <rv s="1">
    <fb>99.386584958313705</fb>
    <v>&lt;class 'float'&gt;</v>
    <v>float</v>
    <v>99.3865849583137</v>
    <v>99.386584958313705</v>
    <v>0</v>
  </rv>
  <rv s="1">
    <fb>67.538884149570094</fb>
    <v>&lt;class 'float'&gt;</v>
    <v>float</v>
    <v>67.5388841495701</v>
    <v>67.538884149570094</v>
    <v>0</v>
  </rv>
  <rv s="1">
    <fb>-0.25604012975490681</fb>
    <v>&lt;class 'float'&gt;</v>
    <v>float</v>
    <v>-0.2560401297549068</v>
    <v>-0.25604012975490681</v>
    <v>0</v>
  </rv>
  <rv s="1">
    <fb>99.386578432015455</fb>
    <v>&lt;class 'float'&gt;</v>
    <v>float</v>
    <v>99.38657843201545</v>
    <v>99.386578432015455</v>
    <v>0</v>
  </rv>
  <rv s="1">
    <fb>67.538878773879858</fb>
    <v>&lt;class 'float'&gt;</v>
    <v>float</v>
    <v>67.53887877387986</v>
    <v>67.538878773879858</v>
    <v>0</v>
  </rv>
  <rv s="1">
    <fb>-0.25604275601292159</fb>
    <v>&lt;class 'float'&gt;</v>
    <v>float</v>
    <v>-0.2560427560129216</v>
    <v>-0.25604275601292159</v>
    <v>0</v>
  </rv>
  <rv s="1">
    <fb>99.386571911642633</fb>
    <v>&lt;class 'float'&gt;</v>
    <v>float</v>
    <v>99.38657191164263</v>
    <v>99.386571911642633</v>
    <v>0</v>
  </rv>
  <rv s="1">
    <fb>67.538873927365913</fb>
    <v>&lt;class 'float'&gt;</v>
    <v>float</v>
    <v>67.53887392736591</v>
    <v>67.538873927365913</v>
    <v>0</v>
  </rv>
  <rv s="1">
    <fb>-0.25604467161365485</fb>
    <v>&lt;class 'float'&gt;</v>
    <v>float</v>
    <v>-0.25604467161365485</v>
    <v>-0.25604467161365485</v>
    <v>0</v>
  </rv>
  <rv s="1">
    <fb>99.386565395615818</fb>
    <v>&lt;class 'float'&gt;</v>
    <v>float</v>
    <v>99.38656539561582</v>
    <v>99.386565395615818</v>
    <v>0</v>
  </rv>
  <rv s="1">
    <fb>67.538869365514174</fb>
    <v>&lt;class 'float'&gt;</v>
    <v>float</v>
    <v>67.53886936551417</v>
    <v>67.538869365514174</v>
    <v>0</v>
  </rv>
  <rv s="1">
    <fb>-0.25604606598988894</fb>
    <v>&lt;class 'float'&gt;</v>
    <v>float</v>
    <v>-0.25604606598988894</v>
    <v>-0.25604606598988894</v>
    <v>0</v>
  </rv>
  <rv s="1">
    <fb>99.386558882776598</fb>
    <v>&lt;class 'float'&gt;</v>
    <v>float</v>
    <v>99.3865588827766</v>
    <v>99.386558882776598</v>
    <v>0</v>
  </rv>
  <rv s="1">
    <fb>67.538864956792125</fb>
    <v>&lt;class 'float'&gt;</v>
    <v>float</v>
    <v>67.53886495679212</v>
    <v>67.538864956792125</v>
    <v>0</v>
  </rv>
  <rv s="1">
    <fb>-0.2560470780792099</fb>
    <v>&lt;class 'float'&gt;</v>
    <v>float</v>
    <v>-0.2560470780792099</v>
    <v>-0.2560470780792099</v>
    <v>0</v>
  </rv>
  <rv s="1">
    <fb>99.386552372275332</fb>
    <v>&lt;class 'float'&gt;</v>
    <v>float</v>
    <v>99.38655237227533</v>
    <v>99.386552372275332</v>
    <v>0</v>
  </rv>
  <rv s="1">
    <fb>67.538860630443892</fb>
    <v>&lt;class 'float'&gt;</v>
    <v>float</v>
    <v>67.53886063044389</v>
    <v>67.538860630443892</v>
    <v>0</v>
  </rv>
  <rv s="1">
    <fb>-0.25604780978400532</fb>
    <v>&lt;class 'float'&gt;</v>
    <v>float</v>
    <v>-0.2560478097840053</v>
    <v>-0.25604780978400532</v>
    <v>0</v>
  </rv>
  <rv s="1">
    <fb>99.386545863488877</fb>
    <v>&lt;class 'float'&gt;</v>
    <v>float</v>
    <v>99.38654586348888</v>
    <v>99.386545863488877</v>
    <v>0</v>
  </rv>
  <rv s="1">
    <fb>67.538856348407492</fb>
    <v>&lt;class 'float'&gt;</v>
    <v>float</v>
    <v>67.53885634840749</v>
    <v>67.538856348407492</v>
    <v>0</v>
  </rv>
  <rv s="1">
    <fb>-0.25604833584356557</fb>
    <v>&lt;class 'float'&gt;</v>
    <v>float</v>
    <v>-0.25604833584356557</v>
    <v>-0.25604833584356557</v>
    <v>0</v>
  </rv>
  <rv s="1">
    <fb>99.386539355960196</fb>
    <v>&lt;class 'float'&gt;</v>
    <v>float</v>
    <v>99.3865393559602</v>
    <v>99.386539355960196</v>
    <v>0</v>
  </rv>
  <rv s="1">
    <fb>67.538852090208081</fb>
    <v>&lt;class 'float'&gt;</v>
    <v>float</v>
    <v>67.53885209020808</v>
    <v>67.538852090208081</v>
    <v>0</v>
  </rv>
  <rv s="1">
    <fb>-0.2560487110746783</fb>
    <v>&lt;class 'float'&gt;</v>
    <v>float</v>
    <v>-0.2560487110746783</v>
    <v>-0.2560487110746783</v>
    <v>0</v>
  </rv>
  <rv s="1">
    <fb>99.386532849354055</fb>
    <v>&lt;class 'float'&gt;</v>
    <v>float</v>
    <v>99.38653284935405</v>
    <v>99.386532849354055</v>
    <v>0</v>
  </rv>
  <rv s="1">
    <fb>67.538847844831523</fb>
    <v>&lt;class 'float'&gt;</v>
    <v>float</v>
    <v>67.53884784483152</v>
    <v>67.538847844831523</v>
    <v>0</v>
  </rv>
  <rv s="1">
    <fb>-0.25604897568216989</fb>
    <v>&lt;class 'float'&gt;</v>
    <v>float</v>
    <v>-0.2560489756821699</v>
    <v>-0.25604897568216989</v>
    <v>0</v>
  </rv>
  <rv s="1">
    <fb>99.386526343424606</fb>
    <v>&lt;class 'float'&gt;</v>
    <v>float</v>
    <v>99.3865263434246</v>
    <v>99.386526343424606</v>
    <v>0</v>
  </rv>
  <rv s="1">
    <fb>67.538843606352941</fb>
    <v>&lt;class 'float'&gt;</v>
    <v>float</v>
    <v>67.53884360635294</v>
    <v>67.538843606352941</v>
    <v>0</v>
  </rv>
  <rv s="1">
    <fb>-0.25604915915386961</fb>
    <v>&lt;class 'float'&gt;</v>
    <v>float</v>
    <v>-0.2560491591538696</v>
    <v>-0.25604915915386961</v>
    <v>0</v>
  </rv>
  <rv s="1">
    <fb>99.386519837991528</fb>
    <v>&lt;class 'float'&gt;</v>
    <v>float</v>
    <v>99.38651983799153</v>
    <v>99.386519837991528</v>
    <v>0</v>
  </rv>
  <rv s="1">
    <fb>67.538839371585141</fb>
    <v>&lt;class 'float'&gt;</v>
    <v>float</v>
    <v>67.53883937158514</v>
    <v>67.538839371585141</v>
    <v>0</v>
  </rv>
  <rv s="1">
    <fb>-0.25604928311733188</fb>
    <v>&lt;class 'float'&gt;</v>
    <v>float</v>
    <v>-0.2560492831173319</v>
    <v>-0.25604928311733188</v>
    <v>0</v>
  </rv>
  <rv s="1">
    <fb>99.386513332922576</fb>
    <v>&lt;class 'float'&gt;</v>
    <v>float</v>
    <v>99.38651333292258</v>
    <v>99.386513332922576</v>
    <v>0</v>
  </rv>
  <rv s="1">
    <fb>67.538835138813639</fb>
    <v>&lt;class 'float'&gt;</v>
    <v>float</v>
    <v>67.53883513881364</v>
    <v>67.538835138813639</v>
    <v>0</v>
  </rv>
  <rv s="1">
    <fb>-0.25604936343507084</fb>
    <v>&lt;class 'float'&gt;</v>
    <v>float</v>
    <v>-0.25604936343507084</v>
    <v>-0.25604936343507084</v>
    <v>0</v>
  </rv>
  <rv s="1">
    <fb>99.38650682812073</fb>
    <v>&lt;class 'float'&gt;</v>
    <v>float</v>
    <v>99.38650682812073</v>
    <v>99.38650682812073</v>
    <v>0</v>
  </rv>
  <rv s="1">
    <fb>67.538830907116136</fb>
    <v>&lt;class 'float'&gt;</v>
    <v>float</v>
    <v>67.53883090711614</v>
    <v>67.538830907116136</v>
    <v>0</v>
  </rv>
  <rv s="1">
    <fb>-0.25604941174128948</fb>
    <v>&lt;class 'float'&gt;</v>
    <v>float</v>
    <v>-0.2560494117412895</v>
    <v>-0.25604941174128948</v>
    <v>0</v>
  </rv>
  <rv s="1">
    <fb>99.386500323514852</fb>
    <v>&lt;class 'float'&gt;</v>
    <v>float</v>
    <v>99.38650032351485</v>
    <v>99.386500323514852</v>
    <v>0</v>
  </rv>
  <rv s="1">
    <fb>67.538826675996489</fb>
    <v>&lt;class 'float'&gt;</v>
    <v>float</v>
    <v>67.53882667599649</v>
    <v>67.538826675996489</v>
    <v>0</v>
  </rv>
  <rv s="1">
    <fb>-0.25604943656897799</fb>
    <v>&lt;class 'float'&gt;</v>
    <v>float</v>
    <v>-0.256049436568978</v>
    <v>-0.25604943656897799</v>
    <v>0</v>
  </rv>
  <rv s="1">
    <fb>99.38649381905276</fb>
    <v>&lt;class 'float'&gt;</v>
    <v>float</v>
    <v>99.38649381905276</v>
    <v>99.38649381905276</v>
    <v>0</v>
  </rv>
  <rv s="1">
    <fb>67.538822445187819</fb>
    <v>&lt;class 'float'&gt;</v>
    <v>float</v>
    <v>67.53882244518782</v>
    <v>67.538822445187819</v>
    <v>0</v>
  </rv>
  <rv s="1">
    <fb>-0.25604944417657288</fb>
    <v>&lt;class 'float'&gt;</v>
    <v>float</v>
    <v>-0.2560494441765729</v>
    <v>-0.25604944417657288</v>
    <v>0</v>
  </rv>
  <rv s="1">
    <fb>99.386487314696183</fb>
    <v>&lt;class 'float'&gt;</v>
    <v>float</v>
    <v>99.38648731469618</v>
    <v>99.386487314696183</v>
    <v>0</v>
  </rv>
  <rv s="1">
    <fb>67.538818214546581</fb>
    <v>&lt;class 'float'&gt;</v>
    <v>float</v>
    <v>67.53881821454658</v>
    <v>67.538818214546581</v>
    <v>0</v>
  </rv>
  <rv s="1">
    <fb>-0.25604943915426215</fb>
    <v>&lt;class 'float'&gt;</v>
    <v>float</v>
    <v>-0.25604943915426215</v>
    <v>-0.25604943915426215</v>
    <v>0</v>
  </rv>
  <rv s="1">
    <fb>99.386480810417041</fb>
    <v>&lt;class 'float'&gt;</v>
    <v>float</v>
    <v>99.38648081041704</v>
    <v>99.386480810417041</v>
    <v>0</v>
  </rv>
  <rv s="1">
    <fb>67.53881398399551</fb>
    <v>&lt;class 'float'&gt;</v>
    <v>float</v>
    <v>67.53881398399551</v>
    <v>67.53881398399551</v>
    <v>0</v>
  </rv>
  <rv s="1">
    <fb>-0.25604942486867333</fb>
    <v>&lt;class 'float'&gt;</v>
    <v>float</v>
    <v>-0.2560494248686733</v>
    <v>-0.25604942486867333</v>
    <v>0</v>
  </rv>
  <rv s="1">
    <fb>99.386474306194756</fb>
    <v>&lt;class 'float'&gt;</v>
    <v>float</v>
    <v>99.38647430619476</v>
    <v>99.386474306194756</v>
    <v>0</v>
  </rv>
  <rv s="1">
    <fb>67.538809753493069</fb>
    <v>&lt;class 'float'&gt;</v>
    <v>float</v>
    <v>67.53880975349307</v>
    <v>67.538809753493069</v>
    <v>0</v>
  </rv>
  <rv s="1">
    <fb>-0.25604940378902591</fb>
    <v>&lt;class 'float'&gt;</v>
    <v>float</v>
    <v>-0.2560494037890259</v>
    <v>-0.25604940378902591</v>
    <v>0</v>
  </rv>
  <rv s="1">
    <fb>99.386467802014224</fb>
    <v>&lt;class 'float'&gt;</v>
    <v>float</v>
    <v>99.38646780201422</v>
    <v>99.386467802014224</v>
    <v>0</v>
  </rv>
  <rv s="1">
    <fb>67.538805523016933</fb>
    <v>&lt;class 'float'&gt;</v>
    <v>float</v>
    <v>67.53880552301693</v>
    <v>67.538805523016933</v>
    <v>0</v>
  </rv>
  <rv s="1">
    <fb>-0.25604937772634423</fb>
    <v>&lt;class 'float'&gt;</v>
    <v>float</v>
    <v>-0.25604937772634423</v>
    <v>-0.25604937772634423</v>
    <v>0</v>
  </rv>
  <rv s="1">
    <fb>99.386461297864386</fb>
    <v>&lt;class 'float'&gt;</v>
    <v>float</v>
    <v>99.38646129786439</v>
    <v>99.386461297864386</v>
    <v>0</v>
  </rv>
  <rv s="1">
    <fb>67.538801292555064</fb>
    <v>&lt;class 'float'&gt;</v>
    <v>float</v>
    <v>67.53880129255506</v>
    <v>67.538801292555064</v>
    <v>0</v>
  </rv>
  <rv s="1">
    <fb>-0.25604934800890611</fb>
    <v>&lt;class 'float'&gt;</v>
    <v>float</v>
    <v>-0.2560493480089061</v>
    <v>-0.25604934800890611</v>
    <v>0</v>
  </rv>
  <rv s="1">
    <fb>99.386454793737101</fb>
    <v>&lt;class 'float'&gt;</v>
    <v>float</v>
    <v>99.3864547937371</v>
    <v>99.386454793737101</v>
    <v>0</v>
  </rv>
  <rv s="1">
    <fb>67.538797062100983</fb>
    <v>&lt;class 'float'&gt;</v>
    <v>float</v>
    <v>67.53879706210098</v>
    <v>67.538797062100983</v>
    <v>0</v>
  </rv>
  <rv s="1">
    <fb>-0.25604931561092364</fb>
    <v>&lt;class 'float'&gt;</v>
    <v>float</v>
    <v>-0.25604931561092364</v>
    <v>-0.25604931561092364</v>
    <v>0</v>
  </rv>
  <rv s="1">
    <fb>99.386448289626415</fb>
    <v>&lt;class 'float'&gt;</v>
    <v>float</v>
    <v>99.38644828962641</v>
    <v>99.386448289626415</v>
    <v>0</v>
  </rv>
  <rv s="1">
    <fb>67.538792831651236</fb>
    <v>&lt;class 'float'&gt;</v>
    <v>float</v>
    <v>67.53879283165124</v>
    <v>67.538792831651236</v>
    <v>0</v>
  </rv>
  <rv s="1">
    <fb>-0.256049281246923</fb>
    <v>&lt;class 'float'&gt;</v>
    <v>float</v>
    <v>-0.256049281246923</v>
    <v>-0.256049281246923</v>
    <v>0</v>
  </rv>
  <rv s="1">
    <fb>99.386441785527964</fb>
    <v>&lt;class 'float'&gt;</v>
    <v>float</v>
    <v>99.38644178552796</v>
    <v>99.386441785527964</v>
    <v>0</v>
  </rv>
  <rv s="1">
    <fb>67.538788601203947</fb>
    <v>&lt;class 'float'&gt;</v>
    <v>float</v>
    <v>67.53878860120395</v>
    <v>67.538788601203947</v>
    <v>0</v>
  </rv>
  <rv s="1">
    <fb>-0.25604924544096624</fb>
    <v>&lt;class 'float'&gt;</v>
    <v>float</v>
    <v>-0.25604924544096624</v>
    <v>-0.25604924544096624</v>
    <v>0</v>
  </rv>
  <rv s="1">
    <fb>99.386435281438537</fb>
    <v>&lt;class 'float'&gt;</v>
    <v>float</v>
    <v>99.38643528143854</v>
    <v>99.386435281438537</v>
    <v>0</v>
  </rv>
  <rv s="1">
    <fb>67.538784370758094</fb>
    <v>&lt;class 'float'&gt;</v>
    <v>float</v>
    <v>67.5387843707581</v>
    <v>67.538784370758094</v>
    <v>0</v>
  </rv>
  <rv s="1">
    <fb>-0.25604920857742153</fb>
    <v>&lt;class 'float'&gt;</v>
    <v>float</v>
    <v>-0.2560492085774215</v>
    <v>-0.25604920857742153</v>
    <v>0</v>
  </rv>
  <rv s="1">
    <fb>99.386428777355789</fb>
    <v>&lt;class 'float'&gt;</v>
    <v>float</v>
    <v>99.38642877735579</v>
    <v>99.386428777355789</v>
    <v>0</v>
  </rv>
  <rv s="1">
    <fb>67.538780140313136</fb>
    <v>&lt;class 'float'&gt;</v>
    <v>float</v>
    <v>67.53878014031314</v>
    <v>67.538780140313136</v>
    <v>0</v>
  </rv>
  <rv s="1">
    <fb>-0.25604917093819973</fb>
    <v>&lt;class 'float'&gt;</v>
    <v>float</v>
    <v>-0.25604917093819973</v>
    <v>-0.25604917093819973</v>
    <v>0</v>
  </rv>
  <rv s="1">
    <fb>99.386422273278001</fb>
    <v>&lt;class 'float'&gt;</v>
    <v>float</v>
    <v>99.386422273278</v>
    <v>99.386422273278001</v>
    <v>0</v>
  </rv>
  <rv s="1">
    <fb>67.538775909868804</fb>
    <v>&lt;class 'float'&gt;</v>
    <v>float</v>
    <v>67.5387759098688</v>
    <v>67.538775909868804</v>
    <v>0</v>
  </rv>
  <rv s="1">
    <fb>-0.25604913273006574</fb>
    <v>&lt;class 'float'&gt;</v>
    <v>float</v>
    <v>-0.25604913273006574</v>
    <v>-0.25604913273006574</v>
    <v>0</v>
  </rv>
  <rv s="1">
    <fb>99.386415769203893</fb>
    <v>&lt;class 'float'&gt;</v>
    <v>float</v>
    <v>99.3864157692039</v>
    <v>99.386415769203893</v>
    <v>0</v>
  </rv>
  <rv s="1">
    <fb>67.538771679424926</fb>
    <v>&lt;class 'float'&gt;</v>
    <v>float</v>
    <v>67.53877167942493</v>
    <v>67.538771679424926</v>
    <v>0</v>
  </rv>
  <rv s="1">
    <fb>-0.25604909410466908</fb>
    <v>&lt;class 'float'&gt;</v>
    <v>float</v>
    <v>-0.2560490941046691</v>
    <v>-0.25604909410466908</v>
    <v>0</v>
  </rv>
  <rv s="1">
    <fb>99.386409265132556</fb>
    <v>&lt;class 'float'&gt;</v>
    <v>float</v>
    <v>99.38640926513256</v>
    <v>99.386409265132556</v>
    <v>0</v>
  </rv>
  <rv s="1">
    <fb>67.538767448981417</fb>
    <v>&lt;class 'float'&gt;</v>
    <v>float</v>
    <v>67.53876744898142</v>
    <v>67.538767448981417</v>
    <v>0</v>
  </rv>
  <rv s="1">
    <fb>-0.25604905517323562</fb>
    <v>&lt;class 'float'&gt;</v>
    <v>float</v>
    <v>-0.2560490551732356</v>
    <v>-0.25604905517323562</v>
    <v>0</v>
  </rv>
  <rv s="1">
    <fb>99.386402761063295</fb>
    <v>&lt;class 'float'&gt;</v>
    <v>float</v>
    <v>99.3864027610633</v>
    <v>99.386402761063295</v>
    <v>0</v>
  </rv>
  <rv s="1">
    <fb>67.538763218538236</fb>
    <v>&lt;class 'float'&gt;</v>
    <v>float</v>
    <v>67.53876321853824</v>
    <v>67.538763218538236</v>
    <v>0</v>
  </rv>
  <rv s="1">
    <fb>-0.25604901601734281</fb>
    <v>&lt;class 'float'&gt;</v>
    <v>float</v>
    <v>-0.2560490160173428</v>
    <v>-0.25604901601734281</v>
    <v>0</v>
  </rv>
  <rv s="1">
    <fb>99.38639625699561</fb>
    <v>&lt;class 'float'&gt;</v>
    <v>float</v>
    <v>99.38639625699561</v>
    <v>99.38639625699561</v>
    <v>0</v>
  </rv>
  <rv s="1">
    <fb>67.538758988095353</fb>
    <v>&lt;class 'float'&gt;</v>
    <v>float</v>
    <v>67.53875898809535</v>
    <v>67.538758988095353</v>
    <v>0</v>
  </rv>
  <rv s="1">
    <fb>-0.25604897669682292</fb>
    <v>&lt;class 'float'&gt;</v>
    <v>float</v>
    <v>-0.2560489766968229</v>
    <v>-0.25604897669682292</v>
    <v>0</v>
  </rv>
  <rv s="1">
    <fb>99.386389752929148</fb>
    <v>&lt;class 'float'&gt;</v>
    <v>float</v>
    <v>99.38638975292915</v>
    <v>99.386389752929148</v>
    <v>0</v>
  </rv>
  <rv s="1">
    <fb>67.538754757652754</fb>
    <v>&lt;class 'float'&gt;</v>
    <v>float</v>
    <v>67.53875475765275</v>
    <v>67.538754757652754</v>
    <v>0</v>
  </rv>
  <rv s="1">
    <fb>-0.25604893725555927</fb>
    <v>&lt;class 'float'&gt;</v>
    <v>float</v>
    <v>-0.2560489372555593</v>
    <v>-0.25604893725555927</v>
    <v>0</v>
  </rv>
  <rv s="1">
    <fb>99.386383248863638</fb>
    <v>&lt;class 'float'&gt;</v>
    <v>float</v>
    <v>99.38638324886364</v>
    <v>99.386383248863638</v>
    <v>0</v>
  </rv>
  <rv s="1">
    <fb>67.538750527210453</fb>
    <v>&lt;class 'float'&gt;</v>
    <v>float</v>
    <v>67.53875052721045</v>
    <v>67.538750527210453</v>
    <v>0</v>
  </rv>
  <rv s="1">
    <fb>-0.25604889772573769</fb>
    <v>&lt;class 'float'&gt;</v>
    <v>float</v>
    <v>-0.2560488977257377</v>
    <v>-0.25604889772573769</v>
    <v>0</v>
  </rv>
  <rv s="1">
    <fb>99.386376744798881</fb>
    <v>&lt;class 'float'&gt;</v>
    <v>float</v>
    <v>99.38637674479888</v>
    <v>99.386376744798881</v>
    <v>0</v>
  </rv>
  <rv s="1">
    <fb>67.538746296768423</fb>
    <v>&lt;class 'float'&gt;</v>
    <v>float</v>
    <v>67.53874629676842</v>
    <v>67.538746296768423</v>
    <v>0</v>
  </rv>
  <rv s="1">
    <fb>-0.25604885813096451</fb>
    <v>&lt;class 'float'&gt;</v>
    <v>float</v>
    <v>-0.2560488581309645</v>
    <v>-0.25604885813096451</v>
    <v>0</v>
  </rv>
  <rv s="1">
    <fb>99.38637024073472</fb>
    <v>&lt;class 'float'&gt;</v>
    <v>float</v>
    <v>99.38637024073472</v>
    <v>99.38637024073472</v>
    <v>0</v>
  </rv>
  <rv s="1">
    <fb>67.538742066326648</fb>
    <v>&lt;class 'float'&gt;</v>
    <v>float</v>
    <v>67.53874206632665</v>
    <v>67.538742066326648</v>
    <v>0</v>
  </rv>
  <rv s="1">
    <fb>-0.25604881848855349</fb>
    <v>&lt;class 'float'&gt;</v>
    <v>float</v>
    <v>-0.2560488184885535</v>
    <v>-0.25604881848855349</v>
    <v>0</v>
  </rv>
  <rv s="1">
    <fb>99.386363736671072</fb>
    <v>&lt;class 'float'&gt;</v>
    <v>float</v>
    <v>99.38636373667107</v>
    <v>99.386363736671072</v>
    <v>0</v>
  </rv>
  <rv s="1">
    <fb>67.538737835885172</fb>
    <v>&lt;class 'float'&gt;</v>
    <v>float</v>
    <v>67.53873783588517</v>
    <v>67.538737835885172</v>
    <v>0</v>
  </rv>
  <rv s="1">
    <fb>-0.25604877881120341</fb>
    <v>&lt;class 'float'&gt;</v>
    <v>float</v>
    <v>-0.2560487788112034</v>
    <v>-0.25604877881120341</v>
    <v>0</v>
  </rv>
  <rv s="1">
    <fb>99.386357232607835</fb>
    <v>&lt;class 'float'&gt;</v>
    <v>float</v>
    <v>99.38635723260784</v>
    <v>99.386357232607835</v>
    <v>0</v>
  </rv>
  <rv s="1">
    <fb>67.538733605443952</fb>
    <v>&lt;class 'float'&gt;</v>
    <v>float</v>
    <v>67.53873360544395</v>
    <v>67.538733605443952</v>
    <v>0</v>
  </rv>
  <rv s="1">
    <fb>-0.2560487391082279</fb>
    <v>&lt;class 'float'&gt;</v>
    <v>float</v>
    <v>-0.2560487391082279</v>
    <v>-0.2560487391082279</v>
    <v>0</v>
  </rv>
  <rv s="1">
    <fb>99.386350728544969</fb>
    <v>&lt;class 'float'&gt;</v>
    <v>float</v>
    <v>99.38635072854497</v>
    <v>99.386350728544969</v>
    <v>0</v>
  </rv>
  <rv s="1">
    <fb>67.538729375003015</fb>
    <v>&lt;class 'float'&gt;</v>
    <v>float</v>
    <v>67.53872937500302</v>
    <v>67.538729375003015</v>
    <v>0</v>
  </rv>
  <rv s="1">
    <fb>-0.25604869938645802</fb>
    <v>&lt;class 'float'&gt;</v>
    <v>float</v>
    <v>-0.256048699386458</v>
    <v>-0.25604869938645802</v>
    <v>0</v>
  </rv>
  <rv s="1">
    <fb>99.386344224482428</fb>
    <v>&lt;class 'float'&gt;</v>
    <v>float</v>
    <v>99.38634422448243</v>
    <v>99.386344224482428</v>
    <v>0</v>
  </rv>
  <rv s="1">
    <fb>67.538725144562349</fb>
    <v>&lt;class 'float'&gt;</v>
    <v>float</v>
    <v>67.53872514456235</v>
    <v>67.538725144562349</v>
    <v>0</v>
  </rv>
  <rv s="1">
    <fb>-0.25604865965090401</fb>
    <v>&lt;class 'float'&gt;</v>
    <v>float</v>
    <v>-0.256048659650904</v>
    <v>-0.25604865965090401</v>
    <v>0</v>
  </rv>
  <rv s="1">
    <fb>99.386337720420187</fb>
    <v>&lt;class 'float'&gt;</v>
    <v>float</v>
    <v>99.38633772042019</v>
    <v>99.386337720420187</v>
    <v>0</v>
  </rv>
  <rv s="1">
    <fb>67.538720914121967</fb>
    <v>&lt;class 'float'&gt;</v>
    <v>float</v>
    <v>67.53872091412197</v>
    <v>67.538720914121967</v>
    <v>0</v>
  </rv>
  <rv s="1">
    <fb>-0.25604861990524047</fb>
    <v>&lt;class 'float'&gt;</v>
    <v>float</v>
    <v>-0.25604861990524047</v>
    <v>-0.25604861990524047</v>
    <v>0</v>
  </rv>
  <rv s="1">
    <fb>99.386331216358215</fb>
    <v>&lt;class 'float'&gt;</v>
    <v>float</v>
    <v>99.38633121635822</v>
    <v>99.386331216358215</v>
    <v>0</v>
  </rv>
  <rv s="1">
    <fb>67.538716683681841</fb>
    <v>&lt;class 'float'&gt;</v>
    <v>float</v>
    <v>67.53871668368184</v>
    <v>67.538716683681841</v>
    <v>0</v>
  </rv>
  <rv s="1">
    <fb>-0.25604858015216253</fb>
    <v>&lt;class 'float'&gt;</v>
    <v>float</v>
    <v>-0.25604858015216253</v>
    <v>-0.25604858015216253</v>
    <v>0</v>
  </rv>
  <rv s="1">
    <fb>99.386324712296499</fb>
    <v>&lt;class 'float'&gt;</v>
    <v>float</v>
    <v>99.3863247122965</v>
    <v>99.386324712296499</v>
    <v>0</v>
  </rv>
  <rv s="1">
    <fb>67.538712453241999</fb>
    <v>&lt;class 'float'&gt;</v>
    <v>float</v>
    <v>67.538712453242</v>
    <v>67.538712453241999</v>
    <v>0</v>
  </rv>
  <rv s="1">
    <fb>-0.25604854039364688</fb>
    <v>&lt;class 'float'&gt;</v>
    <v>float</v>
    <v>-0.2560485403936469</v>
    <v>-0.25604854039364688</v>
    <v>0</v>
  </rv>
  <rv s="1">
    <fb>99.386318208235025</fb>
    <v>&lt;class 'float'&gt;</v>
    <v>float</v>
    <v>99.38631820823502</v>
    <v>99.386318208235025</v>
    <v>0</v>
  </rv>
  <rv s="1">
    <fb>67.538708222802427</fb>
    <v>&lt;class 'float'&gt;</v>
    <v>float</v>
    <v>67.53870822280243</v>
    <v>67.538708222802427</v>
    <v>0</v>
  </rv>
  <rv s="1">
    <fb>-0.25604850063114337</fb>
    <v>&lt;class 'float'&gt;</v>
    <v>float</v>
    <v>-0.25604850063114337</v>
    <v>-0.25604850063114337</v>
    <v>0</v>
  </rv>
  <rv s="1">
    <fb>99.386311704173778</fb>
    <v>&lt;class 'float'&gt;</v>
    <v>float</v>
    <v>99.38631170417378</v>
    <v>99.386311704173778</v>
    <v>0</v>
  </rv>
  <rv s="1">
    <fb>67.538703992363125</fb>
    <v>&lt;class 'float'&gt;</v>
    <v>float</v>
    <v>67.53870399236312</v>
    <v>67.538703992363125</v>
    <v>0</v>
  </rv>
  <rv s="1">
    <fb>-0.25604846086571537</fb>
    <v>&lt;class 'float'&gt;</v>
    <v>float</v>
    <v>-0.25604846086571537</v>
    <v>-0.25604846086571537</v>
    <v>0</v>
  </rv>
  <rv s="1">
    <fb>99.386305200112758</fb>
    <v>&lt;class 'float'&gt;</v>
    <v>float</v>
    <v>99.38630520011276</v>
    <v>99.386305200112758</v>
    <v>0</v>
  </rv>
  <rv s="1">
    <fb>67.538699761924093</fb>
    <v>&lt;class 'float'&gt;</v>
    <v>float</v>
    <v>67.5386997619241</v>
    <v>67.538699761924093</v>
    <v>0</v>
  </rv>
  <rv s="1">
    <fb>-0.25604842109814274</fb>
    <v>&lt;class 'float'&gt;</v>
    <v>float</v>
    <v>-0.25604842109814274</v>
    <v>-0.25604842109814274</v>
    <v>0</v>
  </rv>
  <rv s="1">
    <fb>99.386298696051966</fb>
    <v>&lt;class 'float'&gt;</v>
    <v>float</v>
    <v>99.38629869605197</v>
    <v>99.386298696051966</v>
    <v>0</v>
  </rv>
  <rv s="1">
    <fb>67.538695531485345</fb>
    <v>&lt;class 'float'&gt;</v>
    <v>float</v>
    <v>67.53869553148535</v>
    <v>67.538695531485345</v>
    <v>0</v>
  </rv>
  <rv s="1">
    <fb>-0.25604838132899749</fb>
    <v>&lt;class 'float'&gt;</v>
    <v>float</v>
    <v>-0.2560483813289975</v>
    <v>-0.25604838132899749</v>
    <v>0</v>
  </rv>
  <rv s="1">
    <fb>99.386292191991402</fb>
    <v>&lt;class 'float'&gt;</v>
    <v>float</v>
    <v>99.3862921919914</v>
    <v>99.386292191991402</v>
    <v>0</v>
  </rv>
  <rv s="1">
    <fb>67.538691301046867</fb>
    <v>&lt;class 'float'&gt;</v>
    <v>float</v>
    <v>67.53869130104687</v>
    <v>67.538691301046867</v>
    <v>0</v>
  </rv>
  <rv s="1">
    <fb>-0.25604834155869921</fb>
    <v>&lt;class 'float'&gt;</v>
    <v>float</v>
    <v>-0.2560483415586992</v>
    <v>-0.25604834155869921</v>
    <v>0</v>
  </rv>
  <rv s="1">
    <fb>99.38628568793105</fb>
    <v>&lt;class 'float'&gt;</v>
    <v>float</v>
    <v>99.38628568793105</v>
    <v>99.38628568793105</v>
    <v>0</v>
  </rv>
  <rv s="1">
    <fb>67.53868707060866</fb>
    <v>&lt;class 'float'&gt;</v>
    <v>float</v>
    <v>67.53868707060866</v>
    <v>67.53868707060866</v>
    <v>0</v>
  </rv>
  <rv s="1">
    <fb>-0.25604830178755555</fb>
    <v>&lt;class 'float'&gt;</v>
    <v>float</v>
    <v>-0.25604830178755555</v>
    <v>-0.25604830178755555</v>
    <v>0</v>
  </rv>
  <rv s="1">
    <fb>99.386279183870911</fb>
    <v>&lt;class 'float'&gt;</v>
    <v>float</v>
    <v>99.38627918387091</v>
    <v>99.386279183870911</v>
    <v>0</v>
  </rv>
  <rv s="1">
    <fb>67.538682840170722</fb>
    <v>&lt;class 'float'&gt;</v>
    <v>float</v>
    <v>67.53868284017072</v>
    <v>67.538682840170722</v>
    <v>0</v>
  </rv>
  <rv s="1">
    <fb>-0.25604826201579223</fb>
    <v>&lt;class 'float'&gt;</v>
    <v>float</v>
    <v>-0.2560482620157922</v>
    <v>-0.25604826201579223</v>
    <v>0</v>
  </rv>
  <rv s="1">
    <fb>99.386272679810986</fb>
    <v>&lt;class 'float'&gt;</v>
    <v>float</v>
    <v>99.38627267981099</v>
    <v>99.386272679810986</v>
    <v>0</v>
  </rv>
  <rv s="1">
    <fb>67.538678609733054</fb>
    <v>&lt;class 'float'&gt;</v>
    <v>float</v>
    <v>67.53867860973305</v>
    <v>67.538678609733054</v>
    <v>0</v>
  </rv>
  <rv s="1">
    <fb>-0.25604822224357471</fb>
    <v>&lt;class 'float'&gt;</v>
    <v>float</v>
    <v>-0.2560482222435747</v>
    <v>-0.25604822224357471</v>
    <v>0</v>
  </rv>
  <rv s="1">
    <fb>99.386266175751274</fb>
    <v>&lt;class 'float'&gt;</v>
    <v>float</v>
    <v>99.38626617575127</v>
    <v>99.386266175751274</v>
    <v>0</v>
  </rv>
  <rv s="1">
    <fb>67.538674379295671</fb>
    <v>&lt;class 'float'&gt;</v>
    <v>float</v>
    <v>67.53867437929567</v>
    <v>67.538674379295671</v>
    <v>0</v>
  </rv>
  <rv s="1">
    <fb>-0.25604818247102445</fb>
    <v>&lt;class 'float'&gt;</v>
    <v>float</v>
    <v>-0.25604818247102445</v>
    <v>-0.25604818247102445</v>
    <v>0</v>
  </rv>
  <rv s="1">
    <fb>99.386259671691775</fb>
    <v>&lt;class 'float'&gt;</v>
    <v>float</v>
    <v>99.38625967169177</v>
    <v>99.386259671691775</v>
    <v>0</v>
  </rv>
  <rv s="1">
    <fb>67.538670148858557</fb>
    <v>&lt;class 'float'&gt;</v>
    <v>float</v>
    <v>67.53867014885856</v>
    <v>67.538670148858557</v>
    <v>0</v>
  </rv>
  <rv s="1">
    <fb>-0.25604814269823045</fb>
    <v>&lt;class 'float'&gt;</v>
    <v>float</v>
    <v>-0.25604814269823045</v>
    <v>-0.25604814269823045</v>
    <v>0</v>
  </rv>
  <rv s="1">
    <fb>99.386253167632489</fb>
    <v>&lt;class 'float'&gt;</v>
    <v>float</v>
    <v>99.38625316763249</v>
    <v>99.386253167632489</v>
    <v>0</v>
  </rv>
  <rv s="1">
    <fb>67.538665918421714</fb>
    <v>&lt;class 'float'&gt;</v>
    <v>float</v>
    <v>67.53866591842171</v>
    <v>67.538665918421714</v>
    <v>0</v>
  </rv>
  <rv s="1">
    <fb>-0.25604810292525809</fb>
    <v>&lt;class 'float'&gt;</v>
    <v>float</v>
    <v>-0.2560481029252581</v>
    <v>-0.25604810292525809</v>
    <v>0</v>
  </rv>
  <rv s="1">
    <fb>99.386246663573417</fb>
    <v>&lt;class 'float'&gt;</v>
    <v>float</v>
    <v>99.38624666357342</v>
    <v>99.386246663573417</v>
    <v>0</v>
  </rv>
  <rv s="1">
    <fb>67.538661687985154</fb>
    <v>&lt;class 'float'&gt;</v>
    <v>float</v>
    <v>67.53866168798515</v>
    <v>67.538661687985154</v>
    <v>0</v>
  </rv>
  <rv s="1">
    <fb>-0.25604806315215523</fb>
    <v>&lt;class 'float'&gt;</v>
    <v>float</v>
    <v>-0.2560480631521552</v>
    <v>-0.25604806315215523</v>
    <v>0</v>
  </rv>
  <rv s="1">
    <fb>99.386240159514543</fb>
    <v>&lt;class 'float'&gt;</v>
    <v>float</v>
    <v>99.38624015951454</v>
    <v>99.386240159514543</v>
    <v>0</v>
  </rv>
  <rv s="1">
    <fb>67.538657457548851</fb>
    <v>&lt;class 'float'&gt;</v>
    <v>float</v>
    <v>67.53865745754885</v>
    <v>67.538657457548851</v>
    <v>0</v>
  </rv>
  <rv s="1">
    <fb>-0.25604802337895693</fb>
    <v>&lt;class 'float'&gt;</v>
    <v>float</v>
    <v>-0.25604802337895693</v>
    <v>-0.25604802337895693</v>
    <v>0</v>
  </rv>
  <rv s="1">
    <fb>99.386233655455882</fb>
    <v>&lt;class 'float'&gt;</v>
    <v>float</v>
    <v>99.38623365545588</v>
    <v>99.386233655455882</v>
    <v>0</v>
  </rv>
  <rv s="1">
    <fb>67.538653227112817</fb>
    <v>&lt;class 'float'&gt;</v>
    <v>float</v>
    <v>67.53865322711282</v>
    <v>67.538653227112817</v>
    <v>0</v>
  </rv>
  <rv s="1">
    <fb>-0.25604798360568903</fb>
    <v>&lt;class 'float'&gt;</v>
    <v>float</v>
    <v>-0.25604798360568903</v>
    <v>-0.25604798360568903</v>
    <v>0</v>
  </rv>
  <rv s="1">
    <fb>99.386227151397435</fb>
    <v>&lt;class 'float'&gt;</v>
    <v>float</v>
    <v>99.38622715139743</v>
    <v>99.386227151397435</v>
    <v>0</v>
  </rv>
  <rv s="1">
    <fb>67.538648996677068</fb>
    <v>&lt;class 'float'&gt;</v>
    <v>float</v>
    <v>67.53864899667707</v>
    <v>67.538648996677068</v>
    <v>0</v>
  </rv>
  <rv s="1">
    <fb>-0.25604794383237045</fb>
    <v>&lt;class 'float'&gt;</v>
    <v>float</v>
    <v>-0.25604794383237045</v>
    <v>-0.25604794383237045</v>
    <v>0</v>
  </rv>
  <rv s="1">
    <fb>99.386220647339201</fb>
    <v>&lt;class 'float'&gt;</v>
    <v>float</v>
    <v>99.3862206473392</v>
    <v>99.386220647339201</v>
    <v>0</v>
  </rv>
  <rv s="1">
    <fb>67.538644766241589</fb>
    <v>&lt;class 'float'&gt;</v>
    <v>float</v>
    <v>67.53864476624159</v>
    <v>67.538644766241589</v>
    <v>0</v>
  </rv>
  <rv s="1">
    <fb>-0.25604790405901501</fb>
    <v>&lt;class 'float'&gt;</v>
    <v>float</v>
    <v>-0.256047904059015</v>
    <v>-0.25604790405901501</v>
    <v>0</v>
  </rv>
  <rv s="1">
    <fb>99.38621414328118</fb>
    <v>&lt;class 'float'&gt;</v>
    <v>float</v>
    <v>99.38621414328118</v>
    <v>99.38621414328118</v>
    <v>0</v>
  </rv>
  <rv s="1">
    <fb>67.538640535806394</fb>
    <v>&lt;class 'float'&gt;</v>
    <v>float</v>
    <v>67.5386405358064</v>
    <v>67.538640535806394</v>
    <v>0</v>
  </rv>
  <rv s="1">
    <fb>-0.25604786428563286</fb>
    <v>&lt;class 'float'&gt;</v>
    <v>float</v>
    <v>-0.25604786428563286</v>
    <v>-0.25604786428563286</v>
    <v>0</v>
  </rv>
  <rv s="1">
    <fb>99.386207639223358</fb>
    <v>&lt;class 'float'&gt;</v>
    <v>float</v>
    <v>99.38620763922336</v>
    <v>99.386207639223358</v>
    <v>0</v>
  </rv>
  <rv s="1">
    <fb>67.538636305371455</fb>
    <v>&lt;class 'float'&gt;</v>
    <v>float</v>
    <v>67.53863630537145</v>
    <v>67.538636305371455</v>
    <v>0</v>
  </rv>
  <rv s="1">
    <fb>-0.25604782451223151</fb>
    <v>&lt;class 'float'&gt;</v>
    <v>float</v>
    <v>-0.2560478245122315</v>
    <v>-0.25604782451223151</v>
    <v>0</v>
  </rv>
  <rv s="1">
    <fb>99.386201135165749</fb>
    <v>&lt;class 'float'&gt;</v>
    <v>float</v>
    <v>99.38620113516575</v>
    <v>99.386201135165749</v>
    <v>0</v>
  </rv>
  <rv s="1">
    <fb>67.5386320749368</fb>
    <v>&lt;class 'float'&gt;</v>
    <v>float</v>
    <v>67.5386320749368</v>
    <v>67.5386320749368</v>
    <v>0</v>
  </rv>
  <rv s="1">
    <fb>-0.2560477847388164</fb>
    <v>&lt;class 'float'&gt;</v>
    <v>float</v>
    <v>-0.2560477847388164</v>
    <v>-0.2560477847388164</v>
    <v>0</v>
  </rv>
  <rv s="1">
    <fb>99.386194631108353</fb>
    <v>&lt;class 'float'&gt;</v>
    <v>float</v>
    <v>99.38619463110835</v>
    <v>99.386194631108353</v>
    <v>0</v>
  </rv>
  <rv s="1">
    <fb>67.538627844502415</fb>
    <v>&lt;class 'float'&gt;</v>
    <v>float</v>
    <v>67.53862784450241</v>
    <v>67.538627844502415</v>
    <v>0</v>
  </rv>
  <rv s="1">
    <fb>-0.25604774496539151</fb>
    <v>&lt;class 'float'&gt;</v>
    <v>float</v>
    <v>-0.2560477449653915</v>
    <v>-0.25604774496539151</v>
    <v>0</v>
  </rv>
  <rv s="1">
    <fb>99.38618812705117</fb>
    <v>&lt;class 'float'&gt;</v>
    <v>float</v>
    <v>99.38618812705117</v>
    <v>99.38618812705117</v>
    <v>0</v>
  </rv>
  <rv s="1">
    <fb>67.5386236140683</fb>
    <v>&lt;class 'float'&gt;</v>
    <v>float</v>
    <v>67.5386236140683</v>
    <v>67.5386236140683</v>
    <v>0</v>
  </rv>
  <rv s="1">
    <fb>-0.2560477051919598</fb>
    <v>&lt;class 'float'&gt;</v>
    <v>float</v>
    <v>-0.2560477051919598</v>
    <v>-0.2560477051919598</v>
    <v>0</v>
  </rv>
  <rv s="1">
    <fb>99.386181622994187</fb>
    <v>&lt;class 'float'&gt;</v>
    <v>float</v>
    <v>99.38618162299419</v>
    <v>99.386181622994187</v>
    <v>0</v>
  </rv>
  <rv s="1">
    <fb>67.538619383634455</fb>
    <v>&lt;class 'float'&gt;</v>
    <v>float</v>
    <v>67.53861938363445</v>
    <v>67.538619383634455</v>
    <v>0</v>
  </rv>
  <rv s="1">
    <fb>-0.25604766541852342</fb>
    <v>&lt;class 'float'&gt;</v>
    <v>float</v>
    <v>-0.2560476654185234</v>
    <v>-0.25604766541852342</v>
    <v>0</v>
  </rv>
  <rv s="1">
    <fb>99.386175118937416</fb>
    <v>&lt;class 'float'&gt;</v>
    <v>float</v>
    <v>99.38617511893742</v>
    <v>99.386175118937416</v>
    <v>0</v>
  </rv>
  <rv s="1">
    <fb>67.53861515320088</fb>
    <v>&lt;class 'float'&gt;</v>
    <v>float</v>
    <v>67.53861515320088</v>
    <v>67.53861515320088</v>
    <v>0</v>
  </rv>
  <rv s="1">
    <fb>-0.25604762564508399</fb>
    <v>&lt;class 'float'&gt;</v>
    <v>float</v>
    <v>-0.256047625645084</v>
    <v>-0.25604762564508399</v>
    <v>0</v>
  </rv>
  <rv s="1">
    <fb>99.386168614880859</fb>
    <v>&lt;class 'float'&gt;</v>
    <v>float</v>
    <v>99.38616861488086</v>
    <v>99.386168614880859</v>
    <v>0</v>
  </rv>
  <rv s="1">
    <fb>67.538610922767589</fb>
    <v>&lt;class 'float'&gt;</v>
    <v>float</v>
    <v>67.53861092276759</v>
    <v>67.538610922767589</v>
    <v>0</v>
  </rv>
</rvData>
</file>

<file path=xl/richData/rdrichvaluestructure.xml><?xml version="1.0" encoding="utf-8"?>
<rvStructures xmlns="http://schemas.microsoft.com/office/spreadsheetml/2017/richdata" count="2">
  <s t="_python">
    <k n="Python_type" t="s"/>
    <k n="Python_typeName" t="s"/>
    <k n="Python_str" t="s"/>
    <k n="basicValue" t="s"/>
    <k n="_Provider" t="spb"/>
  </s>
  <s t="_python">
    <k n="Python_type" t="s"/>
    <k n="Python_typeName" t="s"/>
    <k n="Python_str" t="s"/>
    <k n="basicValue"/>
    <k n="_Provider" t="spb"/>
  </s>
</rvStructures>
</file>

<file path=xl/richData/rdsupportingpropertybag.xml><?xml version="1.0" encoding="utf-8"?>
<supportingPropertyBags xmlns="http://schemas.microsoft.com/office/spreadsheetml/2017/richdata2">
  <spbData count="1">
    <spb s="0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1">
  <s>
    <k n="link" t="s"/>
    <k n="logo" t="s"/>
    <k n="name" t="s"/>
  </s>
</spb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2467-AAAA-4B1F-A402-C3AA163F0CC4}">
  <dimension ref="B1:J138"/>
  <sheetViews>
    <sheetView tabSelected="1" topLeftCell="A134" zoomScale="145" workbookViewId="0">
      <selection activeCell="E138" sqref="E138"/>
    </sheetView>
  </sheetViews>
  <sheetFormatPr defaultRowHeight="14.4" x14ac:dyDescent="0.3"/>
  <cols>
    <col min="2" max="2" width="6.109375" customWidth="1"/>
    <col min="3" max="3" width="10.109375" bestFit="1" customWidth="1"/>
    <col min="4" max="4" width="14.33203125" customWidth="1"/>
    <col min="5" max="5" width="15.77734375" customWidth="1"/>
    <col min="6" max="6" width="10" bestFit="1" customWidth="1"/>
    <col min="7" max="7" width="14.33203125" customWidth="1"/>
    <col min="8" max="8" width="13.6640625" bestFit="1" customWidth="1"/>
    <col min="9" max="9" width="16.21875" customWidth="1"/>
  </cols>
  <sheetData>
    <row r="1" spans="2:10" x14ac:dyDescent="0.3">
      <c r="E1" t="s">
        <v>8</v>
      </c>
      <c r="F1" t="s">
        <v>9</v>
      </c>
      <c r="H1" s="3" t="s">
        <v>8</v>
      </c>
      <c r="I1" s="3" t="s">
        <v>9</v>
      </c>
      <c r="J1" s="3" t="s">
        <v>17</v>
      </c>
    </row>
    <row r="2" spans="2:10" x14ac:dyDescent="0.3">
      <c r="E2">
        <v>0.97699999999999998</v>
      </c>
      <c r="F2">
        <v>-102.209</v>
      </c>
      <c r="H2">
        <v>0.97599999999999998</v>
      </c>
      <c r="I2">
        <v>-102.209</v>
      </c>
      <c r="J2">
        <v>1.984088500000001</v>
      </c>
    </row>
    <row r="3" spans="2:10" x14ac:dyDescent="0.3">
      <c r="B3" t="s">
        <v>0</v>
      </c>
      <c r="C3" t="s">
        <v>1</v>
      </c>
      <c r="D3" t="s">
        <v>2</v>
      </c>
      <c r="E3" t="s">
        <v>11</v>
      </c>
      <c r="F3" t="s">
        <v>10</v>
      </c>
      <c r="H3">
        <v>0.23</v>
      </c>
      <c r="I3">
        <v>19.940000000000001</v>
      </c>
      <c r="J3">
        <v>26.047149999999998</v>
      </c>
    </row>
    <row r="4" spans="2:10" x14ac:dyDescent="0.3">
      <c r="B4" t="s">
        <v>3</v>
      </c>
      <c r="C4">
        <v>170</v>
      </c>
      <c r="D4">
        <v>65</v>
      </c>
      <c r="E4">
        <f>C4*$E$2+$F$2</f>
        <v>63.881</v>
      </c>
      <c r="F4">
        <f>(E4-D4)^2</f>
        <v>1.2521609999999994</v>
      </c>
      <c r="H4">
        <v>0.3</v>
      </c>
      <c r="I4">
        <v>7.96</v>
      </c>
      <c r="J4">
        <v>21.6</v>
      </c>
    </row>
    <row r="5" spans="2:10" x14ac:dyDescent="0.3">
      <c r="B5" t="s">
        <v>4</v>
      </c>
      <c r="C5">
        <v>155</v>
      </c>
      <c r="D5">
        <v>50</v>
      </c>
      <c r="E5">
        <f>C5*$E$2+$F$2</f>
        <v>49.225999999999999</v>
      </c>
      <c r="F5">
        <f>(E5-D5)^2</f>
        <v>0.59907600000000139</v>
      </c>
    </row>
    <row r="6" spans="2:10" x14ac:dyDescent="0.3">
      <c r="B6" t="s">
        <v>5</v>
      </c>
      <c r="C6">
        <v>150</v>
      </c>
      <c r="D6">
        <v>45</v>
      </c>
      <c r="E6">
        <f>C6*$E$2+$F$2</f>
        <v>44.34099999999998</v>
      </c>
      <c r="F6">
        <f>(E6-D6)^2</f>
        <v>0.43428100000002667</v>
      </c>
    </row>
    <row r="7" spans="2:10" x14ac:dyDescent="0.3">
      <c r="B7" t="s">
        <v>6</v>
      </c>
      <c r="C7">
        <v>175</v>
      </c>
      <c r="D7">
        <v>70</v>
      </c>
      <c r="E7">
        <f>C7*$E$2+$F$2</f>
        <v>68.765999999999991</v>
      </c>
      <c r="F7">
        <f>(E7-D7)^2</f>
        <v>1.522756000000022</v>
      </c>
    </row>
    <row r="8" spans="2:10" x14ac:dyDescent="0.3">
      <c r="B8" t="s">
        <v>7</v>
      </c>
      <c r="C8">
        <v>165</v>
      </c>
      <c r="D8">
        <v>55</v>
      </c>
      <c r="E8">
        <f>C8*$E$2+$F$2</f>
        <v>58.995999999999981</v>
      </c>
      <c r="F8">
        <f>(E8-D8)^2</f>
        <v>15.968015999999848</v>
      </c>
    </row>
    <row r="9" spans="2:10" x14ac:dyDescent="0.3">
      <c r="F9">
        <f>SUM(F4:F8)/(2*COUNTA(F4:F8))</f>
        <v>1.9776289999999896</v>
      </c>
    </row>
    <row r="10" spans="2:10" x14ac:dyDescent="0.3">
      <c r="B10" s="1" t="s">
        <v>12</v>
      </c>
      <c r="H10" s="1" t="s">
        <v>18</v>
      </c>
    </row>
    <row r="11" spans="2:10" x14ac:dyDescent="0.3">
      <c r="B11" t="str" cm="1" vm="1">
        <f t="array" ref="B11">_xlfn._xlws.PY(0,1,C4:D8)</f>
        <v>(150*a + b - 45)**2/10 + (155*a + b - 50)**2/10 + (165*a + b - 55)**2/10 + (170*a + b - 65)**2/10 + (175*a + b - 70)**2/10</v>
      </c>
      <c r="H11" s="3" t="s">
        <v>19</v>
      </c>
      <c r="I11" t="str" cm="1" vm="2">
        <f t="array" ref="I11">_xlfn._xlws.PY(1,1,D4:D8)</f>
        <v>[[65]
 [50]
 [45]
 [70]
 [55]] - shape: (5, 1)</v>
      </c>
    </row>
    <row r="12" spans="2:10" ht="19.8" customHeight="1" x14ac:dyDescent="0.3">
      <c r="B12" t="str" cm="1" vm="3">
        <f t="array" ref="B12">_xlfn._xlws.PY(2,1)</f>
        <v>26655*a**2/2 + a*(163*b - 9375) + b**2/2 - 57*b + 3335/2</v>
      </c>
      <c r="H12" s="3" t="s">
        <v>21</v>
      </c>
      <c r="I12" s="4" t="str" cm="1" vm="4">
        <f t="array" ref="I12">_xlfn._xlws.PY(3,1,C4:C8)</f>
        <v>[[170.   1.]
 [155.   1.]
 [150.   1.]
 [175.   1.]
 [165.   1.]] - shape: (5, 2)</v>
      </c>
    </row>
    <row r="13" spans="2:10" x14ac:dyDescent="0.3">
      <c r="B13" s="1" t="s">
        <v>13</v>
      </c>
      <c r="H13" s="3" t="s">
        <v>22</v>
      </c>
      <c r="I13" t="str" cm="1" vm="5">
        <f t="array" ref="I13">_xlfn._xlws.PY(4,1)</f>
        <v>[[170. 155. 150. 175. 165.]
 [  1.   1.   1.   1.   1.]] - (2, 5)</v>
      </c>
    </row>
    <row r="14" spans="2:10" x14ac:dyDescent="0.3">
      <c r="B14" t="str" cm="1" vm="6">
        <f t="array" ref="B14">_xlfn._xlws.PY(5,1)</f>
        <v>26655*a + 163*b - 9375</v>
      </c>
      <c r="H14" s="3" t="s">
        <v>23</v>
      </c>
      <c r="I14" t="str" cm="1" vm="7">
        <f t="array" ref="I14">_xlfn._xlws.PY(6,1)</f>
        <v>[[1.33275e+05 8.15000e+02]
 [8.15000e+02 5.00000e+00]] - (2, 2)</v>
      </c>
    </row>
    <row r="15" spans="2:10" x14ac:dyDescent="0.3">
      <c r="B15" s="1" t="s">
        <v>14</v>
      </c>
      <c r="H15" s="3" t="s">
        <v>20</v>
      </c>
      <c r="I15" t="str" cm="1" vm="8">
        <f t="array" ref="I15">_xlfn._xlws.PY(7,1)</f>
        <v>[[   0.97674419]
 [-102.20930233]]</v>
      </c>
    </row>
    <row r="16" spans="2:10" x14ac:dyDescent="0.3">
      <c r="B16" t="str" cm="1" vm="9">
        <f t="array" ref="B16">_xlfn._xlws.PY(8,1)</f>
        <v>163*a + b - 57</v>
      </c>
    </row>
    <row r="18" spans="2:6" x14ac:dyDescent="0.3">
      <c r="B18" t="s">
        <v>3</v>
      </c>
      <c r="C18" t="str" cm="1" vm="10">
        <f t="array" ref="C18">_xlfn._xlws.PY(9,1)</f>
        <v>[[2.6655e+04 1.6300e+02]
 [1.6300e+02 1.0000e+00]]</v>
      </c>
    </row>
    <row r="19" spans="2:6" x14ac:dyDescent="0.3">
      <c r="B19" t="s">
        <v>4</v>
      </c>
      <c r="C19" t="str" cm="1" vm="11">
        <f t="array" ref="C19">_xlfn._xlws.PY(10,1)</f>
        <v>[9375 57]</v>
      </c>
    </row>
    <row r="20" spans="2:6" x14ac:dyDescent="0.3">
      <c r="B20" t="s">
        <v>16</v>
      </c>
      <c r="C20" t="str" cm="1" vm="12">
        <f t="array" ref="C20">_xlfn._xlws.PY(11,1)</f>
        <v>[0.976744186046474 -102.209302325577]</v>
      </c>
    </row>
    <row r="21" spans="2:6" x14ac:dyDescent="0.3">
      <c r="D21" s="2"/>
    </row>
    <row r="22" spans="2:6" x14ac:dyDescent="0.3">
      <c r="C22" t="s">
        <v>8</v>
      </c>
      <c r="D22" t="s">
        <v>9</v>
      </c>
      <c r="E22" t="s">
        <v>10</v>
      </c>
      <c r="F22" t="s">
        <v>15</v>
      </c>
    </row>
    <row r="23" spans="2:6" x14ac:dyDescent="0.3">
      <c r="C23">
        <v>100</v>
      </c>
      <c r="D23">
        <v>100</v>
      </c>
      <c r="E23" s="5" cm="1" vm="13">
        <f t="array" ref="E23">_xlfn._xlws.PY(12,1,C23,D23)</f>
        <v>133968467.5</v>
      </c>
      <c r="F23" s="2">
        <v>1.0000000000000001E-5</v>
      </c>
    </row>
    <row r="24" spans="2:6" x14ac:dyDescent="0.3">
      <c r="C24" cm="1" vm="14">
        <f t="array" ref="C24">_xlfn._xlws.PY(13,1,C23,F23,C23,D23)</f>
        <v>73.275750000000002</v>
      </c>
      <c r="D24" cm="1" vm="15">
        <f t="array" ref="D24">_xlfn._xlws.PY(14,1,D23,F23,C23,D23)</f>
        <v>99.836569999999995</v>
      </c>
      <c r="E24" s="5" cm="1" vm="16">
        <f t="array" ref="E24">_xlfn._xlws.PY(12,1,C24,D24)</f>
        <v>72066262.438843593</v>
      </c>
      <c r="F24" s="2">
        <v>1.0000000000000001E-5</v>
      </c>
    </row>
    <row r="25" spans="2:6" x14ac:dyDescent="0.3">
      <c r="C25" cm="1" vm="17">
        <f t="array" ref="C25">_xlfn._xlws.PY(13,1,C24,F24,C24,D24)</f>
        <v>53.675115228400003</v>
      </c>
      <c r="D25" cm="1" vm="18">
        <f t="array" ref="D25">_xlfn._xlws.PY(14,1,D24,F24,C24,D24)</f>
        <v>99.716702161800001</v>
      </c>
      <c r="E25" s="5" cm="1" vm="19">
        <f t="array" ref="E25">_xlfn._xlws.PY(12,1,C25,D25)</f>
        <v>38766944.271545984</v>
      </c>
      <c r="F25" s="2">
        <v>1.0000000000000001E-5</v>
      </c>
    </row>
    <row r="26" spans="2:6" x14ac:dyDescent="0.3">
      <c r="C26" cm="1" vm="20">
        <f t="array" ref="C26">_xlfn._xlws.PY(13,1,C25,F25,C25,D25)</f>
        <v>39.299225039746247</v>
      </c>
      <c r="D26" cm="1" vm="21">
        <f t="array" ref="D26">_xlfn._xlws.PY(14,1,D25,F25,C25,D25)</f>
        <v>99.628784556956091</v>
      </c>
      <c r="E26" s="5" cm="1" vm="22">
        <f t="array" ref="E26">_xlfn._xlws.PY(12,1,C26,D26)</f>
        <v>20854099.497898787</v>
      </c>
      <c r="F26" s="2">
        <v>1.0000000000000001E-5</v>
      </c>
    </row>
    <row r="27" spans="2:6" x14ac:dyDescent="0.3">
      <c r="C27" cm="1" vm="23">
        <f t="array" ref="C27">_xlfn._xlws.PY(13,1,C26,F26,C26,D26)</f>
        <v>28.755371686574044</v>
      </c>
      <c r="D27" cm="1" vm="24">
        <f t="array" ref="D27">_xlfn._xlws.PY(14,1,D26,F26,C26,D26)</f>
        <v>99.564300532295732</v>
      </c>
      <c r="E27" s="5" cm="1" vm="25">
        <f t="array" ref="E27">_xlfn._xlws.PY(12,1,C27,D27)</f>
        <v>11218166.225249147</v>
      </c>
      <c r="F27" s="2">
        <v>1.0000000000000001E-5</v>
      </c>
    </row>
    <row r="28" spans="2:6" x14ac:dyDescent="0.3">
      <c r="C28" cm="1" vm="26">
        <f t="array" ref="C28">_xlfn._xlws.PY(13,1,C27,F27,C27,D27)</f>
        <v>21.022087553650088</v>
      </c>
      <c r="D28" cm="1" vm="27">
        <f t="array" ref="D28">_xlfn._xlws.PY(14,1,D27,F27,C27,D27)</f>
        <v>99.517003633441291</v>
      </c>
      <c r="E28" s="5" cm="1" vm="28">
        <f t="array" ref="E28">_xlfn._xlws.PY(12,1,C28,D28)</f>
        <v>6034667.3891752549</v>
      </c>
      <c r="F28" s="2">
        <v>1.0000000000000001E-5</v>
      </c>
    </row>
    <row r="29" spans="2:6" x14ac:dyDescent="0.3">
      <c r="C29" cm="1" vm="29">
        <f t="array" ref="C29">_xlfn._xlws.PY(13,1,C28,F28,C28,D28)</f>
        <v>15.350187400302147</v>
      </c>
      <c r="D29" cm="1" vm="30">
        <f t="array" ref="D29">_xlfn._xlws.PY(14,1,D28,F28,C28,D28)</f>
        <v>99.482312460692512</v>
      </c>
      <c r="E29" s="5" cm="1" vm="31">
        <f t="array" ref="E29">_xlfn._xlws.PY(12,1,C29,D29)</f>
        <v>3246285.6701100809</v>
      </c>
      <c r="F29" s="2">
        <v>1.0000000000000001E-5</v>
      </c>
    </row>
    <row r="30" spans="2:6" x14ac:dyDescent="0.3">
      <c r="C30" cm="1" vm="32">
        <f t="array" ref="C30">_xlfn._xlws.PY(13,1,C29,F29,C29,D29)</f>
        <v>11.190188779440682</v>
      </c>
      <c r="D30" cm="1" vm="33">
        <f t="array" ref="D30">_xlfn._xlws.PY(14,1,D29,F29,C29,D29)</f>
        <v>99.456866832105419</v>
      </c>
      <c r="E30" s="5" cm="1" vm="34">
        <f t="array" ref="E30">_xlfn._xlws.PY(12,1,C30,D30)</f>
        <v>1746319.5551161091</v>
      </c>
      <c r="F30" s="2">
        <v>1.0000000000000001E-5</v>
      </c>
    </row>
    <row r="31" spans="2:6" x14ac:dyDescent="0.3">
      <c r="C31" cm="1" vm="35">
        <f t="array" ref="C31">_xlfn._xlws.PY(13,1,C30,F30,C30,D30)</f>
        <v>8.1390792673444352</v>
      </c>
      <c r="D31" cm="1" vm="36">
        <f t="array" ref="D31">_xlfn._xlws.PY(14,1,D30,F30,C30,D30)</f>
        <v>99.438202255726608</v>
      </c>
      <c r="E31" s="5" cm="1" vm="37">
        <f t="array" ref="E31">_xlfn._xlws.PY(12,1,C31,D31)</f>
        <v>939436.36163177993</v>
      </c>
      <c r="F31" s="2">
        <v>1.0000000000000001E-5</v>
      </c>
    </row>
    <row r="32" spans="2:6" x14ac:dyDescent="0.3">
      <c r="C32" cm="1" vm="38">
        <f t="array" ref="C32">_xlfn._xlws.PY(13,1,C31,F31,C31,D31)</f>
        <v>5.9012734189569418</v>
      </c>
      <c r="D32" cm="1" vm="39">
        <f t="array" ref="D32">_xlfn._xlws.PY(14,1,D31,F31,C31,D31)</f>
        <v>99.424511174498278</v>
      </c>
      <c r="E32" s="5" cm="1" vm="40">
        <f t="array" ref="E32">_xlfn._xlws.PY(12,1,C32,D32)</f>
        <v>505386.23115170596</v>
      </c>
      <c r="F32" s="2">
        <v>1.0000000000000001E-5</v>
      </c>
    </row>
    <row r="33" spans="3:6" x14ac:dyDescent="0.3">
      <c r="C33" cm="1" vm="41">
        <f t="array" ref="C33">_xlfn._xlws.PY(13,1,C32,F32,C32,D32)</f>
        <v>4.2599770359195368</v>
      </c>
      <c r="D33" cm="1" vm="42">
        <f t="array" ref="D33">_xlfn._xlws.PY(14,1,D32,F32,C32,D32)</f>
        <v>99.414467853713631</v>
      </c>
      <c r="E33" s="5" cm="1" vm="43">
        <f t="array" ref="E33">_xlfn._xlws.PY(12,1,C33,D33)</f>
        <v>271895.78632419556</v>
      </c>
      <c r="F33" s="2">
        <v>1.0000000000000001E-5</v>
      </c>
    </row>
    <row r="34" spans="3:6" x14ac:dyDescent="0.3">
      <c r="C34" cm="1" vm="44">
        <f t="array" ref="C34">_xlfn._xlws.PY(13,1,C33,F33,C33,D33)</f>
        <v>3.0561845743936309</v>
      </c>
      <c r="D34" cm="1" vm="45">
        <f t="array" ref="D34">_xlfn._xlws.PY(14,1,D33,F33,C33,D33)</f>
        <v>99.407099946466545</v>
      </c>
      <c r="E34" s="5" cm="1" vm="46">
        <f t="array" ref="E34">_xlfn._xlws.PY(12,1,C34,D34)</f>
        <v>146293.27178090476</v>
      </c>
      <c r="F34" s="2">
        <v>1.0000000000000001E-5</v>
      </c>
    </row>
    <row r="35" spans="3:6" x14ac:dyDescent="0.3">
      <c r="C35" cm="1" vm="47">
        <f t="array" ref="C35">_xlfn._xlws.PY(13,1,C34,F34,C34,D34)</f>
        <v>2.173275003176268</v>
      </c>
      <c r="D35" cm="1" vm="48">
        <f t="array" ref="D35">_xlfn._xlws.PY(14,1,D34,F34,C34,D34)</f>
        <v>99.40169429461082</v>
      </c>
      <c r="E35" s="5" cm="1" vm="49">
        <f t="array" ref="E35">_xlfn._xlws.PY(12,1,C35,D35)</f>
        <v>78727.373435630405</v>
      </c>
      <c r="F35" s="2">
        <v>1.0000000000000001E-5</v>
      </c>
    </row>
    <row r="36" spans="3:6" x14ac:dyDescent="0.3">
      <c r="C36" cm="1" vm="50">
        <f t="array" ref="C36">_xlfn._xlws.PY(13,1,C35,F35,C35,D35)</f>
        <v>1.5257137893794179</v>
      </c>
      <c r="D36" cm="1" vm="51">
        <f t="array" ref="D36">_xlfn._xlws.PY(14,1,D35,F35,C35,D35)</f>
        <v>99.397727839412696</v>
      </c>
      <c r="E36" s="5" cm="1" vm="52">
        <f t="array" ref="E36">_xlfn._xlws.PY(12,1,C36,D36)</f>
        <v>42381.360492203647</v>
      </c>
      <c r="F36" s="2">
        <v>1.0000000000000001E-5</v>
      </c>
    </row>
    <row r="37" spans="3:6" x14ac:dyDescent="0.3">
      <c r="C37" cm="1" vm="53">
        <f t="array" ref="C37">_xlfn._xlws.PY(13,1,C36,F36,C36,D36)</f>
        <v>1.0507664824420913</v>
      </c>
      <c r="D37" cm="1" vm="54">
        <f t="array" ref="D37">_xlfn._xlws.PY(14,1,D36,F36,C36,D36)</f>
        <v>99.394816948657606</v>
      </c>
      <c r="E37" s="5" cm="1" vm="55">
        <f t="array" ref="E37">_xlfn._xlws.PY(12,1,C37,D37)</f>
        <v>22829.594153006183</v>
      </c>
      <c r="F37" s="2">
        <v>1.0000000000000001E-5</v>
      </c>
    </row>
    <row r="38" spans="3:6" x14ac:dyDescent="0.3">
      <c r="C38" cm="1" vm="56">
        <f t="array" ref="C38">_xlfn._xlws.PY(13,1,C37,F37,C37,D37)</f>
        <v>0.70242112492083986</v>
      </c>
      <c r="D38" cm="1" vm="57">
        <f t="array" ref="D38">_xlfn._xlws.PY(14,1,D37,F37,C37,D37)</f>
        <v>99.392680251121746</v>
      </c>
      <c r="E38" s="5" cm="1" vm="58">
        <f t="array" ref="E38">_xlfn._xlws.PY(12,1,C38,D38)</f>
        <v>12312.028784545653</v>
      </c>
      <c r="F38" s="2">
        <v>1.0000000000000001E-5</v>
      </c>
    </row>
    <row r="39" spans="3:6" x14ac:dyDescent="0.3">
      <c r="C39" cm="1" vm="59">
        <f t="array" ref="C39">_xlfn._xlws.PY(13,1,C38,F38,C38,D38)</f>
        <v>0.44693070526386153</v>
      </c>
      <c r="D39" cm="1" vm="60">
        <f t="array" ref="D39">_xlfn._xlws.PY(14,1,D38,F38,C38,D38)</f>
        <v>99.391111377885608</v>
      </c>
      <c r="E39" s="5" cm="1" vm="61">
        <f t="array" ref="E39">_xlfn._xlws.PY(12,1,C39,D39)</f>
        <v>6654.2698190178107</v>
      </c>
      <c r="F39" s="2">
        <v>1.0000000000000001E-5</v>
      </c>
    </row>
    <row r="40" spans="3:6" x14ac:dyDescent="0.3">
      <c r="C40" cm="1" vm="62">
        <f t="array" ref="C40">_xlfn._xlws.PY(13,1,C39,F39,C39,D39)</f>
        <v>0.25954381422982564</v>
      </c>
      <c r="D40" cm="1" vm="63">
        <f t="array" ref="D40">_xlfn._xlws.PY(14,1,D39,F39,C39,D39)</f>
        <v>99.389958969722244</v>
      </c>
      <c r="E40" s="5" cm="1" vm="64">
        <f t="array" ref="E40">_xlfn._xlws.PY(12,1,C40,D40)</f>
        <v>3610.7673162902461</v>
      </c>
      <c r="F40" s="2">
        <v>1.0000000000000001E-5</v>
      </c>
    </row>
    <row r="41" spans="3:6" x14ac:dyDescent="0.3">
      <c r="C41" cm="1" vm="65">
        <f t="array" ref="C41">_xlfn._xlws.PY(13,1,C40,F40,C40,D40)</f>
        <v>0.12210677742621834</v>
      </c>
      <c r="D41" cm="1" vm="66">
        <f t="array" ref="D41">_xlfn._xlws.PY(14,1,D40,F40,C40,D40)</f>
        <v>99.389112013715348</v>
      </c>
      <c r="E41" s="5" cm="1" vm="67">
        <f t="array" ref="E41">_xlfn._xlws.PY(12,1,C41,D41)</f>
        <v>1973.562984034819</v>
      </c>
      <c r="F41" s="2">
        <v>1.0000000000000001E-5</v>
      </c>
    </row>
    <row r="42" spans="3:6" x14ac:dyDescent="0.3">
      <c r="C42" cm="1" vm="68">
        <f t="array" ref="C42">_xlfn._xlws.PY(13,1,C41,F41,C41,D41)</f>
        <v>2.1304963320903814E-2</v>
      </c>
      <c r="D42" cm="1" vm="69">
        <f t="array" ref="D42">_xlfn._xlws.PY(14,1,D41,F41,C41,D41)</f>
        <v>99.388489088547999</v>
      </c>
      <c r="E42" s="5" cm="1" vm="70">
        <f t="array" ref="E42">_xlfn._xlws.PY(12,1,C42,D42)</f>
        <v>1092.8546468796133</v>
      </c>
      <c r="F42" s="2">
        <v>1.0000000000000001E-5</v>
      </c>
    </row>
    <row r="43" spans="3:6" x14ac:dyDescent="0.3">
      <c r="C43" cm="1" vm="71">
        <f t="array" ref="C43">_xlfn._xlws.PY(13,1,C42,F42,C42,D42)</f>
        <v>-5.2627111866616338E-2</v>
      </c>
      <c r="D43" cm="1" vm="72">
        <f t="array" ref="D43">_xlfn._xlws.PY(14,1,D42,F42,C42,D42)</f>
        <v>99.388030476566897</v>
      </c>
      <c r="E43" s="5" cm="1" vm="73">
        <f t="array" ref="E43">_xlfn._xlws.PY(12,1,C43,D43)</f>
        <v>619.09143887190578</v>
      </c>
      <c r="F43" s="2">
        <v>1.0000000000000001E-5</v>
      </c>
    </row>
    <row r="44" spans="3:6" x14ac:dyDescent="0.3">
      <c r="C44" cm="1" vm="74">
        <f t="array" ref="C44">_xlfn._xlws.PY(13,1,C43,F43,C43,D43)</f>
        <v>-0.1068518448753738</v>
      </c>
      <c r="D44" cm="1" vm="75">
        <f t="array" ref="D44">_xlfn._xlws.PY(14,1,D43,F43,C43,D43)</f>
        <v>99.387692378454474</v>
      </c>
      <c r="E44" s="5" cm="1" vm="76">
        <f t="array" ref="E44">_xlfn._xlws.PY(12,1,C44,D44)</f>
        <v>364.23796628842155</v>
      </c>
      <c r="F44" s="2">
        <v>1.0000000000000001E-5</v>
      </c>
    </row>
    <row r="45" spans="3:6" x14ac:dyDescent="0.3">
      <c r="C45" cm="1" vm="77">
        <f t="array" ref="C45">_xlfn._xlws.PY(13,1,C44,F44,C44,D44)</f>
        <v>-0.14662242420072372</v>
      </c>
      <c r="D45" cm="1" vm="78">
        <f t="array" ref="D45">_xlfn._xlws.PY(14,1,D44,F44,C44,D44)</f>
        <v>99.387442670037842</v>
      </c>
      <c r="E45" s="5" cm="1" vm="79">
        <f t="array" ref="E45">_xlfn._xlws.PY(12,1,C45,D45)</f>
        <v>227.14354481802783</v>
      </c>
      <c r="F45" s="2">
        <v>1.0000000000000001E-5</v>
      </c>
    </row>
    <row r="46" spans="3:6" x14ac:dyDescent="0.3">
      <c r="C46" cm="1" vm="80">
        <f t="array" ref="C46">_xlfn._xlws.PY(13,1,C45,F45,C45,D45)</f>
        <v>-0.17579174858218249</v>
      </c>
      <c r="D46" cm="1" vm="81">
        <f t="array" ref="D46">_xlfn._xlws.PY(14,1,D45,F45,C45,D45)</f>
        <v>99.387257790162593</v>
      </c>
      <c r="E46" s="5" cm="1" vm="82">
        <f t="array" ref="E46">_xlfn._xlws.PY(12,1,C46,D46)</f>
        <v>153.39575383066102</v>
      </c>
      <c r="F46" s="2">
        <v>1.0000000000000001E-5</v>
      </c>
    </row>
    <row r="47" spans="3:6" x14ac:dyDescent="0.3">
      <c r="C47" cm="1" vm="83">
        <f t="array" ref="C47">_xlfn._xlws.PY(13,1,C46,F46,C46,D46)</f>
        <v>-0.19718568819556678</v>
      </c>
      <c r="D47" cm="1" vm="84">
        <f t="array" ref="D47">_xlfn._xlws.PY(14,1,D46,F46,C46,D46)</f>
        <v>99.387120458134874</v>
      </c>
      <c r="E47" s="5" cm="1" vm="85">
        <f t="array" ref="E47">_xlfn._xlws.PY(12,1,C47,D47)</f>
        <v>113.72428696125473</v>
      </c>
      <c r="F47" s="2">
        <v>1.0000000000000001E-5</v>
      </c>
    </row>
    <row r="48" spans="3:6" x14ac:dyDescent="0.3">
      <c r="C48" cm="1" vm="86">
        <f t="array" ref="C48">_xlfn._xlws.PY(13,1,C47,F47,C47,D47)</f>
        <v>-0.2128768493537983</v>
      </c>
      <c r="D48" cm="1" vm="87">
        <f t="array" ref="D48">_xlfn._xlws.PY(14,1,D47,F47,C47,D47)</f>
        <v>99.387017999602051</v>
      </c>
      <c r="E48" s="5" cm="1" vm="88">
        <f t="array" ref="E48">_xlfn._xlws.PY(12,1,C48,D48)</f>
        <v>92.383643002838951</v>
      </c>
      <c r="F48" s="2">
        <v>1.0000000000000001E-5</v>
      </c>
    </row>
    <row r="49" spans="3:6" x14ac:dyDescent="0.3">
      <c r="C49" cm="1" vm="89">
        <f t="array" ref="C49">_xlfn._xlws.PY(13,1,C48,F48,C48,D48)</f>
        <v>-0.2243853644978947</v>
      </c>
      <c r="D49" cm="1" vm="90">
        <f t="array" ref="D49">_xlfn._xlws.PY(14,1,D48,F48,C48,D48)</f>
        <v>99.386941118686508</v>
      </c>
      <c r="E49" s="5" cm="1" vm="91">
        <f t="array" ref="E49">_xlfn._xlws.PY(12,1,C49,D49)</f>
        <v>80.903777085825439</v>
      </c>
      <c r="F49" s="2">
        <v>1.0000000000000001E-5</v>
      </c>
    </row>
    <row r="50" spans="3:6" x14ac:dyDescent="0.3">
      <c r="C50" cm="1" vm="92">
        <f t="array" ref="C50">_xlfn._xlws.PY(13,1,C49,F49,C49,D49)</f>
        <v>-0.23282615961443986</v>
      </c>
      <c r="D50" cm="1" vm="93">
        <f t="array" ref="D50">_xlfn._xlws.PY(14,1,D49,F49,C49,D49)</f>
        <v>99.386882997419448</v>
      </c>
      <c r="E50" s="5" cm="1" vm="94">
        <f t="array" ref="E50">_xlfn._xlws.PY(12,1,C50,D50)</f>
        <v>74.728361713882762</v>
      </c>
      <c r="F50" s="2">
        <v>1.0000000000000001E-5</v>
      </c>
    </row>
    <row r="51" spans="3:6" x14ac:dyDescent="0.3">
      <c r="C51" cm="1" vm="95">
        <f t="array" ref="C51">_xlfn._xlws.PY(13,1,C50,F50,C50,D50)</f>
        <v>-0.23901696605500461</v>
      </c>
      <c r="D51" cm="1" vm="96">
        <f t="array" ref="D51">_xlfn._xlws.PY(14,1,D50,F50,C50,D50)</f>
        <v>99.386838635229651</v>
      </c>
      <c r="E51" s="5" cm="1" vm="97">
        <f t="array" ref="E51">_xlfn._xlws.PY(12,1,C51,D51)</f>
        <v>71.40639213160955</v>
      </c>
      <c r="F51" s="2">
        <v>1.0000000000000001E-5</v>
      </c>
    </row>
    <row r="52" spans="3:6" x14ac:dyDescent="0.3">
      <c r="C52" cm="1" vm="98">
        <f t="array" ref="C52">_xlfn._xlws.PY(13,1,C51,F51,C51,D51)</f>
        <v>-0.24355754072846747</v>
      </c>
      <c r="D52" cm="1" vm="99">
        <f t="array" ref="D52">_xlfn._xlws.PY(14,1,D51,F51,C51,D51)</f>
        <v>99.386804364497962</v>
      </c>
      <c r="E52" s="5" cm="1" vm="100">
        <f t="array" ref="E52">_xlfn._xlws.PY(12,1,C52,D52)</f>
        <v>69.619388858363038</v>
      </c>
      <c r="F52" s="2">
        <v>1.0000000000000001E-5</v>
      </c>
    </row>
    <row r="53" spans="3:6" x14ac:dyDescent="0.3">
      <c r="C53" cm="1" vm="101">
        <f t="array" ref="C53">_xlfn._xlws.PY(13,1,C52,F52,C52,D52)</f>
        <v>-0.24688776936142615</v>
      </c>
      <c r="D53" cm="1" vm="102">
        <f t="array" ref="D53">_xlfn._xlws.PY(14,1,D52,F52,C52,D52)</f>
        <v>99.38677749524571</v>
      </c>
      <c r="E53" s="5" cm="1" vm="103">
        <f t="array" ref="E53">_xlfn._xlws.PY(12,1,C53,D53)</f>
        <v>68.658096582808341</v>
      </c>
      <c r="F53" s="2">
        <v>1.0000000000000001E-5</v>
      </c>
    </row>
    <row r="54" spans="3:6" x14ac:dyDescent="0.3">
      <c r="C54" cm="1" vm="104">
        <f t="array" ref="C54">_xlfn._xlws.PY(13,1,C53,F53,C53,D53)</f>
        <v>-0.24933028175538852</v>
      </c>
      <c r="D54" cm="1" vm="105">
        <f t="array" ref="D54">_xlfn._xlws.PY(14,1,D53,F53,C53,D53)</f>
        <v>99.386756054534814</v>
      </c>
      <c r="E54" s="5" cm="1" vm="106">
        <f t="array" ref="E54">_xlfn._xlws.PY(12,1,C54,D54)</f>
        <v>68.140982559049618</v>
      </c>
      <c r="F54" s="2">
        <v>1.0000000000000001E-5</v>
      </c>
    </row>
    <row r="55" spans="3:6" x14ac:dyDescent="0.3">
      <c r="C55" cm="1" vm="107">
        <f t="array" ref="C55">_xlfn._xlws.PY(13,1,C54,F54,C54,D54)</f>
        <v>-0.25112170752238144</v>
      </c>
      <c r="D55" cm="1" vm="108">
        <f t="array" ref="D55">_xlfn._xlws.PY(14,1,D54,F54,C54,D54)</f>
        <v>99.386738595333526</v>
      </c>
      <c r="E55" s="5" cm="1" vm="109">
        <f t="array" ref="E55">_xlfn._xlws.PY(12,1,C55,D55)</f>
        <v>67.862807243773787</v>
      </c>
      <c r="F55" s="2">
        <v>1.0000000000000001E-5</v>
      </c>
    </row>
    <row r="56" spans="3:6" x14ac:dyDescent="0.3">
      <c r="C56" cm="1" vm="110">
        <f t="array" ref="C56">_xlfn._xlws.PY(13,1,C55,F55,C55,D55)</f>
        <v>-0.2524356002926843</v>
      </c>
      <c r="D56" cm="1" vm="111">
        <f t="array" ref="D56">_xlfn._xlws.PY(14,1,D55,F55,C55,D55)</f>
        <v>99.386724056330834</v>
      </c>
      <c r="E56" s="5" cm="1" vm="112">
        <f t="array" ref="E56">_xlfn._xlws.PY(12,1,C56,D56)</f>
        <v>67.713165250831182</v>
      </c>
      <c r="F56" s="2">
        <v>1.0000000000000001E-5</v>
      </c>
    </row>
    <row r="57" spans="3:6" x14ac:dyDescent="0.3">
      <c r="C57" cm="1" vm="113">
        <f t="array" ref="C57">_xlfn._xlws.PY(13,1,C56,F56,C56,D56)</f>
        <v>-0.25339925124648854</v>
      </c>
      <c r="D57" cm="1" vm="114">
        <f t="array" ref="D57">_xlfn._xlws.PY(14,1,D56,F56,C56,D56)</f>
        <v>99.386711659118745</v>
      </c>
      <c r="E57" s="5" cm="1" vm="115">
        <f t="array" ref="E57">_xlfn._xlws.PY(12,1,C57,D57)</f>
        <v>67.632665738213021</v>
      </c>
      <c r="F57" s="2">
        <v>1.0000000000000001E-5</v>
      </c>
    </row>
    <row r="58" spans="3:6" x14ac:dyDescent="0.3">
      <c r="C58" cm="1" vm="116">
        <f t="array" ref="C58">_xlfn._xlws.PY(13,1,C57,F57,C57,D57)</f>
        <v>-0.25410602083110057</v>
      </c>
      <c r="D58" cm="1" vm="117">
        <f t="array" ref="D58">_xlfn._xlws.PY(14,1,D57,F57,C57,D57)</f>
        <v>99.386700832781685</v>
      </c>
      <c r="E58" s="5" cm="1" vm="118">
        <f t="array" ref="E58">_xlfn._xlws.PY(12,1,C58,D58)</f>
        <v>67.589360336029742</v>
      </c>
      <c r="F58" s="2">
        <v>1.0000000000000001E-5</v>
      </c>
    </row>
    <row r="59" spans="3:6" x14ac:dyDescent="0.3">
      <c r="C59" cm="1" vm="119">
        <f t="array" ref="C59">_xlfn._xlws.PY(13,1,C58,F58,C58,D58)</f>
        <v>-0.25462438333600484</v>
      </c>
      <c r="D59" cm="1" vm="120">
        <f t="array" ref="D59">_xlfn._xlws.PY(14,1,D58,F58,C58,D58)</f>
        <v>99.386691158587311</v>
      </c>
      <c r="E59" s="5" cm="1" vm="121">
        <f t="array" ref="E59">_xlfn._xlws.PY(12,1,C59,D59)</f>
        <v>67.566062920898062</v>
      </c>
      <c r="F59" s="2">
        <v>1.0000000000000001E-5</v>
      </c>
    </row>
    <row r="60" spans="3:6" x14ac:dyDescent="0.3">
      <c r="C60" cm="1" vm="122">
        <f t="array" ref="C60">_xlfn._xlws.PY(13,1,C59,F59,C59,D59)</f>
        <v>-0.25500456054629006</v>
      </c>
      <c r="D60" cm="1" vm="123">
        <f t="array" ref="D60">_xlfn._xlws.PY(14,1,D59,F59,C59,D59)</f>
        <v>99.386682329420566</v>
      </c>
      <c r="E60" s="5" cm="1" vm="124">
        <f t="array" ref="E60">_xlfn._xlws.PY(12,1,C60,D60)</f>
        <v>67.553528487893871</v>
      </c>
      <c r="F60" s="2">
        <v>1.0000000000000001E-5</v>
      </c>
    </row>
    <row r="61" spans="3:6" x14ac:dyDescent="0.3">
      <c r="C61" cm="1" vm="125">
        <f t="array" ref="C61">_xlfn._xlws.PY(13,1,C60,F60,C60,D60)</f>
        <v>-0.25528338712963194</v>
      </c>
      <c r="D61" cm="1" vm="126">
        <f t="array" ref="D61">_xlfn._xlws.PY(14,1,D60,F60,C60,D60)</f>
        <v>99.38667412003096</v>
      </c>
      <c r="E61" s="5" cm="1" vm="127">
        <f t="array" ref="E61">_xlfn._xlws.PY(12,1,C61,D61)</f>
        <v>67.546783831941184</v>
      </c>
      <c r="F61" s="2">
        <v>1.0000000000000001E-5</v>
      </c>
    </row>
    <row r="62" spans="3:6" x14ac:dyDescent="0.3">
      <c r="C62" cm="1" vm="128">
        <f t="array" ref="C62">_xlfn._xlws.PY(13,1,C61,F61,C61,D61)</f>
        <v>-0.255487879105879</v>
      </c>
      <c r="D62" cm="1" vm="129">
        <f t="array" ref="D62">_xlfn._xlws.PY(14,1,D61,F61,C61,D61)</f>
        <v>99.386666365210786</v>
      </c>
      <c r="E62" s="5" cm="1" vm="130">
        <f t="array" ref="E62">_xlfn._xlws.PY(12,1,C62,D62)</f>
        <v>67.543153695543552</v>
      </c>
      <c r="F62" s="2">
        <v>1.0000000000000001E-5</v>
      </c>
    </row>
    <row r="63" spans="3:6" x14ac:dyDescent="0.3">
      <c r="C63" cm="1" vm="131">
        <f t="array" ref="C63">_xlfn._xlws.PY(13,1,C62,F62,C62,D62)</f>
        <v>-0.25563785110550052</v>
      </c>
      <c r="D63" cm="1" vm="132">
        <f t="array" ref="D63">_xlfn._xlws.PY(14,1,D62,F62,C62,D62)</f>
        <v>99.386658943790081</v>
      </c>
      <c r="E63" s="5" cm="1" vm="133">
        <f t="array" ref="E63">_xlfn._xlws.PY(12,1,C63,D63)</f>
        <v>67.541198965983313</v>
      </c>
      <c r="F63" s="2">
        <v>1.0000000000000001E-5</v>
      </c>
    </row>
    <row r="64" spans="3:6" x14ac:dyDescent="0.3">
      <c r="C64" cm="1" vm="134">
        <f t="array" ref="C64">_xlfn._xlws.PY(13,1,C63,F63,C63,D63)</f>
        <v>-0.25574783597170719</v>
      </c>
      <c r="D64" cm="1" vm="135">
        <f t="array" ref="D64">_xlfn._xlws.PY(14,1,D63,F63,C63,D63)</f>
        <v>99.386651766897941</v>
      </c>
      <c r="E64" s="5" cm="1" vm="136">
        <f t="array" ref="E64">_xlfn._xlws.PY(12,1,C64,D64)</f>
        <v>67.540145495195517</v>
      </c>
      <c r="F64" s="2">
        <v>1.0000000000000001E-5</v>
      </c>
    </row>
    <row r="65" spans="3:6" x14ac:dyDescent="0.3">
      <c r="C65" cm="1" vm="137">
        <f t="array" ref="C65">_xlfn._xlws.PY(13,1,C64,F64,C64,D64)</f>
        <v>-0.25582849267349228</v>
      </c>
      <c r="D65" cm="1" vm="138">
        <f t="array" ref="D65">_xlfn._xlws.PY(14,1,D64,F64,C64,D64)</f>
        <v>99.386644769352912</v>
      </c>
      <c r="E65" s="5" cm="1" vm="139">
        <f t="array" ref="E65">_xlfn._xlws.PY(12,1,C65,D65)</f>
        <v>67.539576842397565</v>
      </c>
      <c r="F65" s="2">
        <v>1.0000000000000001E-5</v>
      </c>
    </row>
    <row r="66" spans="3:6" x14ac:dyDescent="0.3">
      <c r="C66" cm="1" vm="140">
        <f t="array" ref="C66">_xlfn._xlws.PY(13,1,C65,F65,C65,D65)</f>
        <v>-0.25588763892541816</v>
      </c>
      <c r="D66" cm="1" vm="141">
        <f t="array" ref="D66">_xlfn._xlws.PY(14,1,D65,F65,C65,D65)</f>
        <v>99.386637903348273</v>
      </c>
      <c r="E66" s="5" cm="1" vm="142">
        <f t="array" ref="E66">_xlfn._xlws.PY(12,1,C66,D66)</f>
        <v>67.539268989816449</v>
      </c>
      <c r="F66" s="2">
        <v>1.0000000000000001E-5</v>
      </c>
    </row>
    <row r="67" spans="3:6" x14ac:dyDescent="0.3">
      <c r="C67" cm="1" vm="143">
        <f t="array" ref="C67">_xlfn._xlws.PY(13,1,C66,F66,C66,D66)</f>
        <v>-0.25593100855230566</v>
      </c>
      <c r="D67" cm="1" vm="144">
        <f t="array" ref="D67">_xlfn._xlws.PY(14,1,D66,F66,C66,D66)</f>
        <v>99.386631133820686</v>
      </c>
      <c r="E67" s="5" cm="1" vm="145">
        <f t="array" ref="E67">_xlfn._xlws.PY(12,1,C67,D67)</f>
        <v>67.53910143061259</v>
      </c>
      <c r="F67" s="2">
        <v>1.0000000000000001E-5</v>
      </c>
    </row>
    <row r="68" spans="3:6" x14ac:dyDescent="0.3">
      <c r="C68" cm="1" vm="146">
        <f t="array" ref="C68">_xlfn._xlws.PY(13,1,C67,F67,C67,D67)</f>
        <v>-0.2559628069708163</v>
      </c>
      <c r="D68" cm="1" vm="147">
        <f t="array" ref="D68">_xlfn._xlws.PY(14,1,D67,F67,C67,D67)</f>
        <v>99.386624435053292</v>
      </c>
      <c r="E68" s="5" cm="1" vm="148">
        <f t="array" ref="E68">_xlfn._xlws.PY(12,1,C68,D68)</f>
        <v>67.539009340025871</v>
      </c>
      <c r="F68" s="2">
        <v>1.0000000000000001E-5</v>
      </c>
    </row>
    <row r="69" spans="3:6" x14ac:dyDescent="0.3">
      <c r="C69" cm="1" vm="149">
        <f t="array" ref="C69">_xlfn._xlws.PY(13,1,C68,F68,C68,D68)</f>
        <v>-0.25598611860188208</v>
      </c>
      <c r="D69" cm="1" vm="150">
        <f t="array" ref="D69">_xlfn._xlws.PY(14,1,D68,F68,C68,D68)</f>
        <v>99.38661778818431</v>
      </c>
      <c r="E69" s="5" cm="1" vm="151">
        <f t="array" ref="E69">_xlfn._xlws.PY(12,1,C69,D69)</f>
        <v>67.538957846595565</v>
      </c>
      <c r="F69" s="2">
        <v>1.0000000000000001E-5</v>
      </c>
    </row>
    <row r="70" spans="3:6" x14ac:dyDescent="0.3">
      <c r="C70" cm="1" vm="152">
        <f t="array" ref="C70">_xlfn._xlws.PY(13,1,C69,F69,C69,D69)</f>
        <v>-0.25600320568329082</v>
      </c>
      <c r="D70" cm="1" vm="153">
        <f t="array" ref="D70">_xlfn._xlws.PY(14,1,D69,F69,C69,D69)</f>
        <v>99.386611179379756</v>
      </c>
      <c r="E70" s="5" cm="1" vm="154">
        <f t="array" ref="E70">_xlfn._xlws.PY(12,1,C70,D70)</f>
        <v>67.538928191767525</v>
      </c>
      <c r="F70" s="2">
        <v>1.0000000000000001E-5</v>
      </c>
    </row>
    <row r="71" spans="3:6" x14ac:dyDescent="0.3">
      <c r="C71" cm="1" vm="155">
        <f t="array" ref="C71">_xlfn._xlws.PY(13,1,C70,F70,C70,D70)</f>
        <v>-0.25601572743079865</v>
      </c>
      <c r="D71" cm="1" vm="156">
        <f t="array" ref="D71">_xlfn._xlws.PY(14,1,D70,F70,C70,D70)</f>
        <v>99.386604598493221</v>
      </c>
      <c r="E71" s="5" cm="1" vm="157">
        <f t="array" ref="E71">_xlfn._xlws.PY(12,1,C71,D71)</f>
        <v>67.538910284672426</v>
      </c>
      <c r="F71" s="2">
        <v>1.0000000000000001E-5</v>
      </c>
    </row>
    <row r="72" spans="3:6" x14ac:dyDescent="0.3">
      <c r="C72" cm="1" vm="158">
        <f t="array" ref="C72">_xlfn._xlws.PY(13,1,C71,F71,C71,D71)</f>
        <v>-0.25602490077966322</v>
      </c>
      <c r="D72" cm="1" vm="159">
        <f t="array" ref="D72">_xlfn._xlws.PY(14,1,D71,F71,C71,D71)</f>
        <v>99.386598038082951</v>
      </c>
      <c r="E72" s="5" cm="1" vm="160">
        <f t="array" ref="E72">_xlfn._xlws.PY(12,1,C72,D72)</f>
        <v>67.538898697085713</v>
      </c>
      <c r="F72" s="2">
        <v>1.0000000000000001E-5</v>
      </c>
    </row>
    <row r="73" spans="3:6" x14ac:dyDescent="0.3">
      <c r="C73" cm="1" vm="161">
        <f t="array" ref="C73">_xlfn._xlws.PY(13,1,C72,F72,C72,D72)</f>
        <v>-0.25603161827891918</v>
      </c>
      <c r="D73" cm="1" vm="162">
        <f t="array" ref="D73">_xlfn._xlws.PY(14,1,D72,F72,C72,D72)</f>
        <v>99.38659149269084</v>
      </c>
      <c r="E73" s="5" cm="1" vm="163">
        <f t="array" ref="E73">_xlfn._xlws.PY(12,1,C73,D73)</f>
        <v>67.538890508979335</v>
      </c>
      <c r="F73" s="2">
        <v>1.0000000000000001E-5</v>
      </c>
    </row>
    <row r="74" spans="3:6" x14ac:dyDescent="0.3">
      <c r="C74" cm="1" vm="164">
        <f t="array" ref="C74">_xlfn._xlws.PY(13,1,C73,F73,C73,D73)</f>
        <v>-0.25603653455975933</v>
      </c>
      <c r="D74" cm="1" vm="165">
        <f t="array" ref="D74">_xlfn._xlws.PY(14,1,D73,F73,C73,D73)</f>
        <v>99.386584958313705</v>
      </c>
      <c r="E74" s="5" cm="1" vm="166">
        <f t="array" ref="E74">_xlfn._xlws.PY(12,1,C74,D74)</f>
        <v>67.538884149570094</v>
      </c>
      <c r="F74" s="2">
        <v>1.0000000000000001E-5</v>
      </c>
    </row>
    <row r="75" spans="3:6" x14ac:dyDescent="0.3">
      <c r="C75" cm="1" vm="167">
        <f t="array" ref="C75">_xlfn._xlws.PY(13,1,C74,F74,C74,D74)</f>
        <v>-0.25604012975490681</v>
      </c>
      <c r="D75" cm="1" vm="168">
        <f t="array" ref="D75">_xlfn._xlws.PY(14,1,D74,F74,C74,D74)</f>
        <v>99.386578432015455</v>
      </c>
      <c r="E75" s="5" cm="1" vm="169">
        <f t="array" ref="E75">_xlfn._xlws.PY(12,1,C75,D75)</f>
        <v>67.538878773879858</v>
      </c>
      <c r="F75" s="2">
        <v>1.0000000000000001E-5</v>
      </c>
    </row>
    <row r="76" spans="3:6" x14ac:dyDescent="0.3">
      <c r="C76" cm="1" vm="170">
        <f t="array" ref="C76">_xlfn._xlws.PY(13,1,C75,F75,C75,D75)</f>
        <v>-0.25604275601292159</v>
      </c>
      <c r="D76" cm="1" vm="171">
        <f t="array" ref="D76">_xlfn._xlws.PY(14,1,D75,F75,C75,D75)</f>
        <v>99.386571911642633</v>
      </c>
      <c r="E76" s="5" cm="1" vm="172">
        <f t="array" ref="E76">_xlfn._xlws.PY(12,1,C76,D76)</f>
        <v>67.538873927365913</v>
      </c>
      <c r="F76" s="2">
        <v>1.0000000000000001E-5</v>
      </c>
    </row>
    <row r="77" spans="3:6" x14ac:dyDescent="0.3">
      <c r="C77" cm="1" vm="173">
        <f t="array" ref="C77">_xlfn._xlws.PY(13,1,C76,F76,C76,D76)</f>
        <v>-0.25604467161365485</v>
      </c>
      <c r="D77" cm="1" vm="174">
        <f t="array" ref="D77">_xlfn._xlws.PY(14,1,D76,F76,C76,D76)</f>
        <v>99.386565395615818</v>
      </c>
      <c r="E77" s="5" cm="1" vm="175">
        <f t="array" ref="E77">_xlfn._xlws.PY(12,1,C77,D77)</f>
        <v>67.538869365514174</v>
      </c>
      <c r="F77" s="2">
        <v>1.0000000000000001E-5</v>
      </c>
    </row>
    <row r="78" spans="3:6" x14ac:dyDescent="0.3">
      <c r="C78" cm="1" vm="176">
        <f t="array" ref="C78">_xlfn._xlws.PY(13,1,C77,F77,C77,D77)</f>
        <v>-0.25604606598988894</v>
      </c>
      <c r="D78" cm="1" vm="177">
        <f t="array" ref="D78">_xlfn._xlws.PY(14,1,D77,F77,C77,D77)</f>
        <v>99.386558882776598</v>
      </c>
      <c r="E78" s="5" cm="1" vm="178">
        <f t="array" ref="E78">_xlfn._xlws.PY(12,1,C78,D78)</f>
        <v>67.538864956792125</v>
      </c>
      <c r="F78" s="2">
        <v>1.0000000000000001E-5</v>
      </c>
    </row>
    <row r="79" spans="3:6" x14ac:dyDescent="0.3">
      <c r="C79" cm="1" vm="179">
        <f t="array" ref="C79">_xlfn._xlws.PY(13,1,C78,F78,C78,D78)</f>
        <v>-0.2560470780792099</v>
      </c>
      <c r="D79" cm="1" vm="180">
        <f t="array" ref="D79">_xlfn._xlws.PY(14,1,D78,F78,C78,D78)</f>
        <v>99.386552372275332</v>
      </c>
      <c r="E79" s="5" cm="1" vm="181">
        <f t="array" ref="E79">_xlfn._xlws.PY(12,1,C79,D79)</f>
        <v>67.538860630443892</v>
      </c>
      <c r="F79" s="2">
        <v>1.0000000000000001E-5</v>
      </c>
    </row>
    <row r="80" spans="3:6" x14ac:dyDescent="0.3">
      <c r="C80" cm="1" vm="182">
        <f t="array" ref="C80">_xlfn._xlws.PY(13,1,C79,F79,C79,D79)</f>
        <v>-0.25604780978400532</v>
      </c>
      <c r="D80" cm="1" vm="183">
        <f t="array" ref="D80">_xlfn._xlws.PY(14,1,D79,F79,C79,D79)</f>
        <v>99.386545863488877</v>
      </c>
      <c r="E80" s="5" cm="1" vm="184">
        <f t="array" ref="E80">_xlfn._xlws.PY(12,1,C80,D80)</f>
        <v>67.538856348407492</v>
      </c>
      <c r="F80" s="2">
        <v>1.0000000000000001E-5</v>
      </c>
    </row>
    <row r="81" spans="3:6" x14ac:dyDescent="0.3">
      <c r="C81" cm="1" vm="185">
        <f t="array" ref="C81">_xlfn._xlws.PY(13,1,C80,F80,C80,D80)</f>
        <v>-0.25604833584356557</v>
      </c>
      <c r="D81" cm="1" vm="186">
        <f t="array" ref="D81">_xlfn._xlws.PY(14,1,D80,F80,C80,D80)</f>
        <v>99.386539355960196</v>
      </c>
      <c r="E81" s="5" cm="1" vm="187">
        <f t="array" ref="E81">_xlfn._xlws.PY(12,1,C81,D81)</f>
        <v>67.538852090208081</v>
      </c>
      <c r="F81" s="2">
        <v>1.0000000000000001E-5</v>
      </c>
    </row>
    <row r="82" spans="3:6" x14ac:dyDescent="0.3">
      <c r="C82" cm="1" vm="188">
        <f t="array" ref="C82">_xlfn._xlws.PY(13,1,C81,F81,C81,D81)</f>
        <v>-0.2560487110746783</v>
      </c>
      <c r="D82" cm="1" vm="189">
        <f t="array" ref="D82">_xlfn._xlws.PY(14,1,D81,F81,C81,D81)</f>
        <v>99.386532849354055</v>
      </c>
      <c r="E82" s="5" cm="1" vm="190">
        <f t="array" ref="E82">_xlfn._xlws.PY(12,1,C82,D82)</f>
        <v>67.538847844831523</v>
      </c>
      <c r="F82" s="2">
        <v>1.0000000000000001E-5</v>
      </c>
    </row>
    <row r="83" spans="3:6" x14ac:dyDescent="0.3">
      <c r="C83" cm="1" vm="191">
        <f t="array" ref="C83">_xlfn._xlws.PY(13,1,C82,F82,C82,D82)</f>
        <v>-0.25604897568216989</v>
      </c>
      <c r="D83" cm="1" vm="192">
        <f t="array" ref="D83">_xlfn._xlws.PY(14,1,D82,F82,C82,D82)</f>
        <v>99.386526343424606</v>
      </c>
      <c r="E83" s="5" cm="1" vm="193">
        <f t="array" ref="E83">_xlfn._xlws.PY(12,1,C83,D83)</f>
        <v>67.538843606352941</v>
      </c>
      <c r="F83" s="2">
        <v>1.0000000000000001E-5</v>
      </c>
    </row>
    <row r="84" spans="3:6" x14ac:dyDescent="0.3">
      <c r="C84" cm="1" vm="194">
        <f t="array" ref="C84">_xlfn._xlws.PY(13,1,C83,F83,C83,D83)</f>
        <v>-0.25604915915386961</v>
      </c>
      <c r="D84" cm="1" vm="195">
        <f t="array" ref="D84">_xlfn._xlws.PY(14,1,D83,F83,C83,D83)</f>
        <v>99.386519837991528</v>
      </c>
      <c r="E84" s="5" cm="1" vm="196">
        <f t="array" ref="E84">_xlfn._xlws.PY(12,1,C84,D84)</f>
        <v>67.538839371585141</v>
      </c>
      <c r="F84" s="2">
        <v>1.0000000000000001E-5</v>
      </c>
    </row>
    <row r="85" spans="3:6" x14ac:dyDescent="0.3">
      <c r="C85" cm="1" vm="197">
        <f t="array" ref="C85">_xlfn._xlws.PY(13,1,C84,F84,C84,D84)</f>
        <v>-0.25604928311733188</v>
      </c>
      <c r="D85" cm="1" vm="198">
        <f t="array" ref="D85">_xlfn._xlws.PY(14,1,D84,F84,C84,D84)</f>
        <v>99.386513332922576</v>
      </c>
      <c r="E85" s="5" cm="1" vm="199">
        <f t="array" ref="E85">_xlfn._xlws.PY(12,1,C85,D85)</f>
        <v>67.538835138813639</v>
      </c>
      <c r="F85" s="2">
        <v>1.0000000000000001E-5</v>
      </c>
    </row>
    <row r="86" spans="3:6" x14ac:dyDescent="0.3">
      <c r="C86" cm="1" vm="200">
        <f t="array" ref="C86">_xlfn._xlws.PY(13,1,C85,F85,C85,D85)</f>
        <v>-0.25604936343507084</v>
      </c>
      <c r="D86" cm="1" vm="201">
        <f t="array" ref="D86">_xlfn._xlws.PY(14,1,D85,F85,C85,D85)</f>
        <v>99.38650682812073</v>
      </c>
      <c r="E86" s="5" cm="1" vm="202">
        <f t="array" ref="E86">_xlfn._xlws.PY(12,1,C86,D86)</f>
        <v>67.538830907116136</v>
      </c>
      <c r="F86" s="2">
        <v>1.0000000000000001E-5</v>
      </c>
    </row>
    <row r="87" spans="3:6" x14ac:dyDescent="0.3">
      <c r="C87" cm="1" vm="203">
        <f t="array" ref="C87">_xlfn._xlws.PY(13,1,C86,F86,C86,D86)</f>
        <v>-0.25604941174128948</v>
      </c>
      <c r="D87" cm="1" vm="204">
        <f t="array" ref="D87">_xlfn._xlws.PY(14,1,D86,F86,C86,D86)</f>
        <v>99.386500323514852</v>
      </c>
      <c r="E87" s="5" cm="1" vm="205">
        <f t="array" ref="E87">_xlfn._xlws.PY(12,1,C87,D87)</f>
        <v>67.538826675996489</v>
      </c>
      <c r="F87" s="2">
        <v>1.0000000000000001E-5</v>
      </c>
    </row>
    <row r="88" spans="3:6" x14ac:dyDescent="0.3">
      <c r="C88" cm="1" vm="206">
        <f t="array" ref="C88">_xlfn._xlws.PY(13,1,C87,F87,C87,D87)</f>
        <v>-0.25604943656897799</v>
      </c>
      <c r="D88" cm="1" vm="207">
        <f t="array" ref="D88">_xlfn._xlws.PY(14,1,D87,F87,C87,D87)</f>
        <v>99.38649381905276</v>
      </c>
      <c r="E88" s="5" cm="1" vm="208">
        <f t="array" ref="E88">_xlfn._xlws.PY(12,1,C88,D88)</f>
        <v>67.538822445187819</v>
      </c>
      <c r="F88" s="2">
        <v>1.0000000000000001E-5</v>
      </c>
    </row>
    <row r="89" spans="3:6" x14ac:dyDescent="0.3">
      <c r="C89" cm="1" vm="209">
        <f t="array" ref="C89">_xlfn._xlws.PY(13,1,C88,F88,C88,D88)</f>
        <v>-0.25604944417657288</v>
      </c>
      <c r="D89" cm="1" vm="210">
        <f t="array" ref="D89">_xlfn._xlws.PY(14,1,D88,F88,C88,D88)</f>
        <v>99.386487314696183</v>
      </c>
      <c r="E89" s="5" cm="1" vm="211">
        <f t="array" ref="E89">_xlfn._xlws.PY(12,1,C89,D89)</f>
        <v>67.538818214546581</v>
      </c>
      <c r="F89" s="2">
        <v>1.0000000000000001E-5</v>
      </c>
    </row>
    <row r="90" spans="3:6" x14ac:dyDescent="0.3">
      <c r="C90" cm="1" vm="212">
        <f t="array" ref="C90">_xlfn._xlws.PY(13,1,C89,F89,C89,D89)</f>
        <v>-0.25604943915426215</v>
      </c>
      <c r="D90" cm="1" vm="213">
        <f t="array" ref="D90">_xlfn._xlws.PY(14,1,D89,F89,C89,D89)</f>
        <v>99.386480810417041</v>
      </c>
      <c r="E90" s="5" cm="1" vm="214">
        <f t="array" ref="E90">_xlfn._xlws.PY(12,1,C90,D90)</f>
        <v>67.53881398399551</v>
      </c>
      <c r="F90" s="2">
        <v>1.0000000000000001E-5</v>
      </c>
    </row>
    <row r="91" spans="3:6" x14ac:dyDescent="0.3">
      <c r="C91" cm="1" vm="215">
        <f t="array" ref="C91">_xlfn._xlws.PY(13,1,C90,F90,C90,D90)</f>
        <v>-0.25604942486867333</v>
      </c>
      <c r="D91" cm="1" vm="216">
        <f t="array" ref="D91">_xlfn._xlws.PY(14,1,D90,F90,C90,D90)</f>
        <v>99.386474306194756</v>
      </c>
      <c r="E91" s="5" cm="1" vm="217">
        <f t="array" ref="E91">_xlfn._xlws.PY(12,1,C91,D91)</f>
        <v>67.538809753493069</v>
      </c>
      <c r="F91" s="2">
        <v>1.0000000000000001E-5</v>
      </c>
    </row>
    <row r="92" spans="3:6" x14ac:dyDescent="0.3">
      <c r="C92" cm="1" vm="218">
        <f t="array" ref="C92">_xlfn._xlws.PY(13,1,C91,F91,C91,D91)</f>
        <v>-0.25604940378902591</v>
      </c>
      <c r="D92" cm="1" vm="219">
        <f t="array" ref="D92">_xlfn._xlws.PY(14,1,D91,F91,C91,D91)</f>
        <v>99.386467802014224</v>
      </c>
      <c r="E92" s="5" cm="1" vm="220">
        <f t="array" ref="E92">_xlfn._xlws.PY(12,1,C92,D92)</f>
        <v>67.538805523016933</v>
      </c>
      <c r="F92" s="2">
        <v>1.0000000000000001E-5</v>
      </c>
    </row>
    <row r="93" spans="3:6" x14ac:dyDescent="0.3">
      <c r="C93" cm="1" vm="221">
        <f t="array" ref="C93">_xlfn._xlws.PY(13,1,C92,F92,C92,D92)</f>
        <v>-0.25604937772634423</v>
      </c>
      <c r="D93" cm="1" vm="222">
        <f t="array" ref="D93">_xlfn._xlws.PY(14,1,D92,F92,C92,D92)</f>
        <v>99.386461297864386</v>
      </c>
      <c r="E93" s="5" cm="1" vm="223">
        <f t="array" ref="E93">_xlfn._xlws.PY(12,1,C93,D93)</f>
        <v>67.538801292555064</v>
      </c>
      <c r="F93" s="2">
        <v>1.0000000000000001E-5</v>
      </c>
    </row>
    <row r="94" spans="3:6" x14ac:dyDescent="0.3">
      <c r="C94" cm="1" vm="224">
        <f t="array" ref="C94">_xlfn._xlws.PY(13,1,C93,F93,C93,D93)</f>
        <v>-0.25604934800890611</v>
      </c>
      <c r="D94" cm="1" vm="225">
        <f t="array" ref="D94">_xlfn._xlws.PY(14,1,D93,F93,C93,D93)</f>
        <v>99.386454793737101</v>
      </c>
      <c r="E94" s="5" cm="1" vm="226">
        <f t="array" ref="E94">_xlfn._xlws.PY(12,1,C94,D94)</f>
        <v>67.538797062100983</v>
      </c>
      <c r="F94" s="2">
        <v>1.0000000000000001E-5</v>
      </c>
    </row>
    <row r="95" spans="3:6" x14ac:dyDescent="0.3">
      <c r="C95" cm="1" vm="227">
        <f t="array" ref="C95">_xlfn._xlws.PY(13,1,C94,F94,C94,D94)</f>
        <v>-0.25604931561092364</v>
      </c>
      <c r="D95" cm="1" vm="228">
        <f t="array" ref="D95">_xlfn._xlws.PY(14,1,D94,F94,C94,D94)</f>
        <v>99.386448289626415</v>
      </c>
      <c r="E95" s="5" cm="1" vm="229">
        <f t="array" ref="E95">_xlfn._xlws.PY(12,1,C95,D95)</f>
        <v>67.538792831651236</v>
      </c>
      <c r="F95" s="2">
        <v>1.0000000000000001E-5</v>
      </c>
    </row>
    <row r="96" spans="3:6" x14ac:dyDescent="0.3">
      <c r="C96" cm="1" vm="230">
        <f t="array" ref="C96">_xlfn._xlws.PY(13,1,C95,F95,C95,D95)</f>
        <v>-0.256049281246923</v>
      </c>
      <c r="D96" cm="1" vm="231">
        <f t="array" ref="D96">_xlfn._xlws.PY(14,1,D95,F95,C95,D95)</f>
        <v>99.386441785527964</v>
      </c>
      <c r="E96" s="5" cm="1" vm="232">
        <f t="array" ref="E96">_xlfn._xlws.PY(12,1,C96,D96)</f>
        <v>67.538788601203947</v>
      </c>
      <c r="F96" s="2">
        <v>1.0000000000000001E-5</v>
      </c>
    </row>
    <row r="97" spans="3:6" x14ac:dyDescent="0.3">
      <c r="C97" cm="1" vm="233">
        <f t="array" ref="C97">_xlfn._xlws.PY(13,1,C96,F96,C96,D96)</f>
        <v>-0.25604924544096624</v>
      </c>
      <c r="D97" cm="1" vm="234">
        <f t="array" ref="D97">_xlfn._xlws.PY(14,1,D96,F96,C96,D96)</f>
        <v>99.386435281438537</v>
      </c>
      <c r="E97" s="5" cm="1" vm="235">
        <f t="array" ref="E97">_xlfn._xlws.PY(12,1,C97,D97)</f>
        <v>67.538784370758094</v>
      </c>
      <c r="F97" s="2">
        <v>1.0000000000000001E-5</v>
      </c>
    </row>
    <row r="98" spans="3:6" x14ac:dyDescent="0.3">
      <c r="C98" cm="1" vm="236">
        <f t="array" ref="C98">_xlfn._xlws.PY(13,1,C97,F97,C97,D97)</f>
        <v>-0.25604920857742153</v>
      </c>
      <c r="D98" cm="1" vm="237">
        <f t="array" ref="D98">_xlfn._xlws.PY(14,1,D97,F97,C97,D97)</f>
        <v>99.386428777355789</v>
      </c>
      <c r="E98" s="5" cm="1" vm="238">
        <f t="array" ref="E98">_xlfn._xlws.PY(12,1,C98,D98)</f>
        <v>67.538780140313136</v>
      </c>
      <c r="F98" s="2">
        <v>1.0000000000000001E-5</v>
      </c>
    </row>
    <row r="99" spans="3:6" x14ac:dyDescent="0.3">
      <c r="C99" cm="1" vm="239">
        <f t="array" ref="C99">_xlfn._xlws.PY(13,1,C98,F98,C98,D98)</f>
        <v>-0.25604917093819973</v>
      </c>
      <c r="D99" cm="1" vm="240">
        <f t="array" ref="D99">_xlfn._xlws.PY(14,1,D98,F98,C98,D98)</f>
        <v>99.386422273278001</v>
      </c>
      <c r="E99" s="5" cm="1" vm="241">
        <f t="array" ref="E99">_xlfn._xlws.PY(12,1,C99,D99)</f>
        <v>67.538775909868804</v>
      </c>
      <c r="F99" s="2">
        <v>1.0000000000000001E-5</v>
      </c>
    </row>
    <row r="100" spans="3:6" x14ac:dyDescent="0.3">
      <c r="C100" cm="1" vm="242">
        <f t="array" ref="C100">_xlfn._xlws.PY(13,1,C99,F99,C99,D99)</f>
        <v>-0.25604913273006574</v>
      </c>
      <c r="D100" cm="1" vm="243">
        <f t="array" ref="D100">_xlfn._xlws.PY(14,1,D99,F99,C99,D99)</f>
        <v>99.386415769203893</v>
      </c>
      <c r="E100" s="5" cm="1" vm="244">
        <f t="array" ref="E100">_xlfn._xlws.PY(12,1,C100,D100)</f>
        <v>67.538771679424926</v>
      </c>
      <c r="F100" s="2">
        <v>1.0000000000000001E-5</v>
      </c>
    </row>
    <row r="101" spans="3:6" x14ac:dyDescent="0.3">
      <c r="C101" cm="1" vm="245">
        <f t="array" ref="C101">_xlfn._xlws.PY(13,1,C100,F100,C100,D100)</f>
        <v>-0.25604909410466908</v>
      </c>
      <c r="D101" cm="1" vm="246">
        <f t="array" ref="D101">_xlfn._xlws.PY(14,1,D100,F100,C100,D100)</f>
        <v>99.386409265132556</v>
      </c>
      <c r="E101" s="5" cm="1" vm="247">
        <f t="array" ref="E101">_xlfn._xlws.PY(12,1,C101,D101)</f>
        <v>67.538767448981417</v>
      </c>
      <c r="F101" s="2">
        <v>1.0000000000000001E-5</v>
      </c>
    </row>
    <row r="102" spans="3:6" x14ac:dyDescent="0.3">
      <c r="C102" cm="1" vm="248">
        <f t="array" ref="C102">_xlfn._xlws.PY(13,1,C101,F101,C101,D101)</f>
        <v>-0.25604905517323562</v>
      </c>
      <c r="D102" cm="1" vm="249">
        <f t="array" ref="D102">_xlfn._xlws.PY(14,1,D101,F101,C101,D101)</f>
        <v>99.386402761063295</v>
      </c>
      <c r="E102" s="5" cm="1" vm="250">
        <f t="array" ref="E102">_xlfn._xlws.PY(12,1,C102,D102)</f>
        <v>67.538763218538236</v>
      </c>
      <c r="F102" s="2">
        <v>1.0000000000000001E-5</v>
      </c>
    </row>
    <row r="103" spans="3:6" x14ac:dyDescent="0.3">
      <c r="C103" cm="1" vm="251">
        <f t="array" ref="C103">_xlfn._xlws.PY(13,1,C102,F102,C102,D102)</f>
        <v>-0.25604901601734281</v>
      </c>
      <c r="D103" cm="1" vm="252">
        <f t="array" ref="D103">_xlfn._xlws.PY(14,1,D102,F102,C102,D102)</f>
        <v>99.38639625699561</v>
      </c>
      <c r="E103" s="5" cm="1" vm="253">
        <f t="array" ref="E103">_xlfn._xlws.PY(12,1,C103,D103)</f>
        <v>67.538758988095353</v>
      </c>
      <c r="F103" s="2">
        <v>1.0000000000000001E-5</v>
      </c>
    </row>
    <row r="104" spans="3:6" x14ac:dyDescent="0.3">
      <c r="C104" cm="1" vm="254">
        <f t="array" ref="C104">_xlfn._xlws.PY(13,1,C103,F103,C103,D103)</f>
        <v>-0.25604897669682292</v>
      </c>
      <c r="D104" cm="1" vm="255">
        <f t="array" ref="D104">_xlfn._xlws.PY(14,1,D103,F103,C103,D103)</f>
        <v>99.386389752929148</v>
      </c>
      <c r="E104" s="5" cm="1" vm="256">
        <f t="array" ref="E104">_xlfn._xlws.PY(12,1,C104,D104)</f>
        <v>67.538754757652754</v>
      </c>
      <c r="F104" s="2">
        <v>1.0000000000000001E-5</v>
      </c>
    </row>
    <row r="105" spans="3:6" x14ac:dyDescent="0.3">
      <c r="C105" cm="1" vm="257">
        <f t="array" ref="C105">_xlfn._xlws.PY(13,1,C104,F104,C104,D104)</f>
        <v>-0.25604893725555927</v>
      </c>
      <c r="D105" cm="1" vm="258">
        <f t="array" ref="D105">_xlfn._xlws.PY(14,1,D104,F104,C104,D104)</f>
        <v>99.386383248863638</v>
      </c>
      <c r="E105" s="5" cm="1" vm="259">
        <f t="array" ref="E105">_xlfn._xlws.PY(12,1,C105,D105)</f>
        <v>67.538750527210453</v>
      </c>
      <c r="F105" s="2">
        <v>1.0000000000000001E-5</v>
      </c>
    </row>
    <row r="106" spans="3:6" x14ac:dyDescent="0.3">
      <c r="C106" cm="1" vm="260">
        <f t="array" ref="C106">_xlfn._xlws.PY(13,1,C105,F105,C105,D105)</f>
        <v>-0.25604889772573769</v>
      </c>
      <c r="D106" cm="1" vm="261">
        <f t="array" ref="D106">_xlfn._xlws.PY(14,1,D105,F105,C105,D105)</f>
        <v>99.386376744798881</v>
      </c>
      <c r="E106" s="5" cm="1" vm="262">
        <f t="array" ref="E106">_xlfn._xlws.PY(12,1,C106,D106)</f>
        <v>67.538746296768423</v>
      </c>
      <c r="F106" s="2">
        <v>1.0000000000000001E-5</v>
      </c>
    </row>
    <row r="107" spans="3:6" x14ac:dyDescent="0.3">
      <c r="C107" cm="1" vm="263">
        <f t="array" ref="C107">_xlfn._xlws.PY(13,1,C106,F106,C106,D106)</f>
        <v>-0.25604885813096451</v>
      </c>
      <c r="D107" cm="1" vm="264">
        <f t="array" ref="D107">_xlfn._xlws.PY(14,1,D106,F106,C106,D106)</f>
        <v>99.38637024073472</v>
      </c>
      <c r="E107" s="5" cm="1" vm="265">
        <f t="array" ref="E107">_xlfn._xlws.PY(12,1,C107,D107)</f>
        <v>67.538742066326648</v>
      </c>
      <c r="F107" s="2">
        <v>1.0000000000000001E-5</v>
      </c>
    </row>
    <row r="108" spans="3:6" x14ac:dyDescent="0.3">
      <c r="C108" cm="1" vm="266">
        <f t="array" ref="C108">_xlfn._xlws.PY(13,1,C107,F107,C107,D107)</f>
        <v>-0.25604881848855349</v>
      </c>
      <c r="D108" cm="1" vm="267">
        <f t="array" ref="D108">_xlfn._xlws.PY(14,1,D107,F107,C107,D107)</f>
        <v>99.386363736671072</v>
      </c>
      <c r="E108" s="5" cm="1" vm="268">
        <f t="array" ref="E108">_xlfn._xlws.PY(12,1,C108,D108)</f>
        <v>67.538737835885172</v>
      </c>
      <c r="F108" s="2">
        <v>1.0000000000000001E-5</v>
      </c>
    </row>
    <row r="109" spans="3:6" x14ac:dyDescent="0.3">
      <c r="C109" cm="1" vm="269">
        <f t="array" ref="C109">_xlfn._xlws.PY(13,1,C108,F108,C108,D108)</f>
        <v>-0.25604877881120341</v>
      </c>
      <c r="D109" cm="1" vm="270">
        <f t="array" ref="D109">_xlfn._xlws.PY(14,1,D108,F108,C108,D108)</f>
        <v>99.386357232607835</v>
      </c>
      <c r="E109" s="5" cm="1" vm="271">
        <f t="array" ref="E109">_xlfn._xlws.PY(12,1,C109,D109)</f>
        <v>67.538733605443952</v>
      </c>
      <c r="F109" s="2">
        <v>1.0000000000000001E-5</v>
      </c>
    </row>
    <row r="110" spans="3:6" x14ac:dyDescent="0.3">
      <c r="C110" cm="1" vm="272">
        <f t="array" ref="C110">_xlfn._xlws.PY(13,1,C109,F109,C109,D109)</f>
        <v>-0.2560487391082279</v>
      </c>
      <c r="D110" cm="1" vm="273">
        <f t="array" ref="D110">_xlfn._xlws.PY(14,1,D109,F109,C109,D109)</f>
        <v>99.386350728544969</v>
      </c>
      <c r="E110" s="5" cm="1" vm="274">
        <f t="array" ref="E110">_xlfn._xlws.PY(12,1,C110,D110)</f>
        <v>67.538729375003015</v>
      </c>
      <c r="F110" s="2">
        <v>1.0000000000000001E-5</v>
      </c>
    </row>
    <row r="111" spans="3:6" x14ac:dyDescent="0.3">
      <c r="C111" cm="1" vm="275">
        <f t="array" ref="C111">_xlfn._xlws.PY(13,1,C110,F110,C110,D110)</f>
        <v>-0.25604869938645802</v>
      </c>
      <c r="D111" cm="1" vm="276">
        <f t="array" ref="D111">_xlfn._xlws.PY(14,1,D110,F110,C110,D110)</f>
        <v>99.386344224482428</v>
      </c>
      <c r="E111" s="5" cm="1" vm="277">
        <f t="array" ref="E111">_xlfn._xlws.PY(12,1,C111,D111)</f>
        <v>67.538725144562349</v>
      </c>
      <c r="F111" s="2">
        <v>1.0000000000000001E-5</v>
      </c>
    </row>
    <row r="112" spans="3:6" x14ac:dyDescent="0.3">
      <c r="C112" cm="1" vm="278">
        <f t="array" ref="C112">_xlfn._xlws.PY(13,1,C111,F111,C111,D111)</f>
        <v>-0.25604865965090401</v>
      </c>
      <c r="D112" cm="1" vm="279">
        <f t="array" ref="D112">_xlfn._xlws.PY(14,1,D111,F111,C111,D111)</f>
        <v>99.386337720420187</v>
      </c>
      <c r="E112" s="5" cm="1" vm="280">
        <f t="array" ref="E112">_xlfn._xlws.PY(12,1,C112,D112)</f>
        <v>67.538720914121967</v>
      </c>
      <c r="F112" s="2">
        <v>1.0000000000000001E-5</v>
      </c>
    </row>
    <row r="113" spans="3:6" x14ac:dyDescent="0.3">
      <c r="C113" cm="1" vm="281">
        <f t="array" ref="C113">_xlfn._xlws.PY(13,1,C112,F112,C112,D112)</f>
        <v>-0.25604861990524047</v>
      </c>
      <c r="D113" cm="1" vm="282">
        <f t="array" ref="D113">_xlfn._xlws.PY(14,1,D112,F112,C112,D112)</f>
        <v>99.386331216358215</v>
      </c>
      <c r="E113" s="5" cm="1" vm="283">
        <f t="array" ref="E113">_xlfn._xlws.PY(12,1,C113,D113)</f>
        <v>67.538716683681841</v>
      </c>
      <c r="F113" s="2">
        <v>1.0000000000000001E-5</v>
      </c>
    </row>
    <row r="114" spans="3:6" x14ac:dyDescent="0.3">
      <c r="C114" cm="1" vm="284">
        <f t="array" ref="C114">_xlfn._xlws.PY(13,1,C113,F113,C113,D113)</f>
        <v>-0.25604858015216253</v>
      </c>
      <c r="D114" cm="1" vm="285">
        <f t="array" ref="D114">_xlfn._xlws.PY(14,1,D113,F113,C113,D113)</f>
        <v>99.386324712296499</v>
      </c>
      <c r="E114" s="5" cm="1" vm="286">
        <f t="array" ref="E114">_xlfn._xlws.PY(12,1,C114,D114)</f>
        <v>67.538712453241999</v>
      </c>
      <c r="F114" s="2">
        <v>1.0000000000000001E-5</v>
      </c>
    </row>
    <row r="115" spans="3:6" x14ac:dyDescent="0.3">
      <c r="C115" cm="1" vm="287">
        <f t="array" ref="C115">_xlfn._xlws.PY(13,1,C114,F114,C114,D114)</f>
        <v>-0.25604854039364688</v>
      </c>
      <c r="D115" cm="1" vm="288">
        <f t="array" ref="D115">_xlfn._xlws.PY(14,1,D114,F114,C114,D114)</f>
        <v>99.386318208235025</v>
      </c>
      <c r="E115" s="5" cm="1" vm="289">
        <f t="array" ref="E115">_xlfn._xlws.PY(12,1,C115,D115)</f>
        <v>67.538708222802427</v>
      </c>
      <c r="F115" s="2">
        <v>1.0000000000000001E-5</v>
      </c>
    </row>
    <row r="116" spans="3:6" x14ac:dyDescent="0.3">
      <c r="C116" cm="1" vm="290">
        <f t="array" ref="C116">_xlfn._xlws.PY(13,1,C115,F115,C115,D115)</f>
        <v>-0.25604850063114337</v>
      </c>
      <c r="D116" cm="1" vm="291">
        <f t="array" ref="D116">_xlfn._xlws.PY(14,1,D115,F115,C115,D115)</f>
        <v>99.386311704173778</v>
      </c>
      <c r="E116" s="5" cm="1" vm="292">
        <f t="array" ref="E116">_xlfn._xlws.PY(12,1,C116,D116)</f>
        <v>67.538703992363125</v>
      </c>
      <c r="F116" s="2">
        <v>1.0000000000000001E-5</v>
      </c>
    </row>
    <row r="117" spans="3:6" x14ac:dyDescent="0.3">
      <c r="C117" cm="1" vm="293">
        <f t="array" ref="C117">_xlfn._xlws.PY(13,1,C116,F116,C116,D116)</f>
        <v>-0.25604846086571537</v>
      </c>
      <c r="D117" cm="1" vm="294">
        <f t="array" ref="D117">_xlfn._xlws.PY(14,1,D116,F116,C116,D116)</f>
        <v>99.386305200112758</v>
      </c>
      <c r="E117" s="5" cm="1" vm="295">
        <f t="array" ref="E117">_xlfn._xlws.PY(12,1,C117,D117)</f>
        <v>67.538699761924093</v>
      </c>
      <c r="F117" s="2">
        <v>1.0000000000000001E-5</v>
      </c>
    </row>
    <row r="118" spans="3:6" x14ac:dyDescent="0.3">
      <c r="C118" cm="1" vm="296">
        <f t="array" ref="C118">_xlfn._xlws.PY(13,1,C117,F117,C117,D117)</f>
        <v>-0.25604842109814274</v>
      </c>
      <c r="D118" cm="1" vm="297">
        <f t="array" ref="D118">_xlfn._xlws.PY(14,1,D117,F117,C117,D117)</f>
        <v>99.386298696051966</v>
      </c>
      <c r="E118" s="5" cm="1" vm="298">
        <f t="array" ref="E118">_xlfn._xlws.PY(12,1,C118,D118)</f>
        <v>67.538695531485345</v>
      </c>
      <c r="F118" s="2">
        <v>1.0000000000000001E-5</v>
      </c>
    </row>
    <row r="119" spans="3:6" x14ac:dyDescent="0.3">
      <c r="C119" cm="1" vm="299">
        <f t="array" ref="C119">_xlfn._xlws.PY(13,1,C118,F118,C118,D118)</f>
        <v>-0.25604838132899749</v>
      </c>
      <c r="D119" cm="1" vm="300">
        <f t="array" ref="D119">_xlfn._xlws.PY(14,1,D118,F118,C118,D118)</f>
        <v>99.386292191991402</v>
      </c>
      <c r="E119" s="5" cm="1" vm="301">
        <f t="array" ref="E119">_xlfn._xlws.PY(12,1,C119,D119)</f>
        <v>67.538691301046867</v>
      </c>
      <c r="F119" s="2">
        <v>1.0000000000000001E-5</v>
      </c>
    </row>
    <row r="120" spans="3:6" x14ac:dyDescent="0.3">
      <c r="C120" cm="1" vm="302">
        <f t="array" ref="C120">_xlfn._xlws.PY(13,1,C119,F119,C119,D119)</f>
        <v>-0.25604834155869921</v>
      </c>
      <c r="D120" cm="1" vm="303">
        <f t="array" ref="D120">_xlfn._xlws.PY(14,1,D119,F119,C119,D119)</f>
        <v>99.38628568793105</v>
      </c>
      <c r="E120" s="5" cm="1" vm="304">
        <f t="array" ref="E120">_xlfn._xlws.PY(12,1,C120,D120)</f>
        <v>67.53868707060866</v>
      </c>
      <c r="F120" s="2">
        <v>1.0000000000000001E-5</v>
      </c>
    </row>
    <row r="121" spans="3:6" x14ac:dyDescent="0.3">
      <c r="C121" cm="1" vm="305">
        <f t="array" ref="C121">_xlfn._xlws.PY(13,1,C120,F120,C120,D120)</f>
        <v>-0.25604830178755555</v>
      </c>
      <c r="D121" cm="1" vm="306">
        <f t="array" ref="D121">_xlfn._xlws.PY(14,1,D120,F120,C120,D120)</f>
        <v>99.386279183870911</v>
      </c>
      <c r="E121" s="5" cm="1" vm="307">
        <f t="array" ref="E121">_xlfn._xlws.PY(12,1,C121,D121)</f>
        <v>67.538682840170722</v>
      </c>
      <c r="F121" s="2">
        <v>1.0000000000000001E-5</v>
      </c>
    </row>
    <row r="122" spans="3:6" x14ac:dyDescent="0.3">
      <c r="C122" cm="1" vm="308">
        <f t="array" ref="C122">_xlfn._xlws.PY(13,1,C121,F121,C121,D121)</f>
        <v>-0.25604826201579223</v>
      </c>
      <c r="D122" cm="1" vm="309">
        <f t="array" ref="D122">_xlfn._xlws.PY(14,1,D121,F121,C121,D121)</f>
        <v>99.386272679810986</v>
      </c>
      <c r="E122" s="5" cm="1" vm="310">
        <f t="array" ref="E122">_xlfn._xlws.PY(12,1,C122,D122)</f>
        <v>67.538678609733054</v>
      </c>
      <c r="F122" s="2">
        <v>1.0000000000000001E-5</v>
      </c>
    </row>
    <row r="123" spans="3:6" x14ac:dyDescent="0.3">
      <c r="C123" cm="1" vm="311">
        <f t="array" ref="C123">_xlfn._xlws.PY(13,1,C122,F122,C122,D122)</f>
        <v>-0.25604822224357471</v>
      </c>
      <c r="D123" cm="1" vm="312">
        <f t="array" ref="D123">_xlfn._xlws.PY(14,1,D122,F122,C122,D122)</f>
        <v>99.386266175751274</v>
      </c>
      <c r="E123" s="5" cm="1" vm="313">
        <f t="array" ref="E123">_xlfn._xlws.PY(12,1,C123,D123)</f>
        <v>67.538674379295671</v>
      </c>
      <c r="F123" s="2">
        <v>1.0000000000000001E-5</v>
      </c>
    </row>
    <row r="124" spans="3:6" x14ac:dyDescent="0.3">
      <c r="C124" cm="1" vm="314">
        <f t="array" ref="C124">_xlfn._xlws.PY(13,1,C123,F123,C123,D123)</f>
        <v>-0.25604818247102445</v>
      </c>
      <c r="D124" cm="1" vm="315">
        <f t="array" ref="D124">_xlfn._xlws.PY(14,1,D123,F123,C123,D123)</f>
        <v>99.386259671691775</v>
      </c>
      <c r="E124" s="5" cm="1" vm="316">
        <f t="array" ref="E124">_xlfn._xlws.PY(12,1,C124,D124)</f>
        <v>67.538670148858557</v>
      </c>
      <c r="F124" s="2">
        <v>1.0000000000000001E-5</v>
      </c>
    </row>
    <row r="125" spans="3:6" x14ac:dyDescent="0.3">
      <c r="C125" cm="1" vm="317">
        <f t="array" ref="C125">_xlfn._xlws.PY(13,1,C124,F124,C124,D124)</f>
        <v>-0.25604814269823045</v>
      </c>
      <c r="D125" cm="1" vm="318">
        <f t="array" ref="D125">_xlfn._xlws.PY(14,1,D124,F124,C124,D124)</f>
        <v>99.386253167632489</v>
      </c>
      <c r="E125" s="5" cm="1" vm="319">
        <f t="array" ref="E125">_xlfn._xlws.PY(12,1,C125,D125)</f>
        <v>67.538665918421714</v>
      </c>
      <c r="F125" s="2">
        <v>1.0000000000000001E-5</v>
      </c>
    </row>
    <row r="126" spans="3:6" x14ac:dyDescent="0.3">
      <c r="C126" cm="1" vm="320">
        <f t="array" ref="C126">_xlfn._xlws.PY(13,1,C125,F125,C125,D125)</f>
        <v>-0.25604810292525809</v>
      </c>
      <c r="D126" cm="1" vm="321">
        <f t="array" ref="D126">_xlfn._xlws.PY(14,1,D125,F125,C125,D125)</f>
        <v>99.386246663573417</v>
      </c>
      <c r="E126" s="5" cm="1" vm="322">
        <f t="array" ref="E126">_xlfn._xlws.PY(12,1,C126,D126)</f>
        <v>67.538661687985154</v>
      </c>
      <c r="F126" s="2">
        <v>1.0000000000000001E-5</v>
      </c>
    </row>
    <row r="127" spans="3:6" x14ac:dyDescent="0.3">
      <c r="C127" cm="1" vm="323">
        <f t="array" ref="C127">_xlfn._xlws.PY(13,1,C126,F126,C126,D126)</f>
        <v>-0.25604806315215523</v>
      </c>
      <c r="D127" cm="1" vm="324">
        <f t="array" ref="D127">_xlfn._xlws.PY(14,1,D126,F126,C126,D126)</f>
        <v>99.386240159514543</v>
      </c>
      <c r="E127" s="5" cm="1" vm="325">
        <f t="array" ref="E127">_xlfn._xlws.PY(12,1,C127,D127)</f>
        <v>67.538657457548851</v>
      </c>
      <c r="F127" s="2">
        <v>1.0000000000000001E-5</v>
      </c>
    </row>
    <row r="128" spans="3:6" x14ac:dyDescent="0.3">
      <c r="C128" cm="1" vm="326">
        <f t="array" ref="C128">_xlfn._xlws.PY(13,1,C127,F127,C127,D127)</f>
        <v>-0.25604802337895693</v>
      </c>
      <c r="D128" cm="1" vm="327">
        <f t="array" ref="D128">_xlfn._xlws.PY(14,1,D127,F127,C127,D127)</f>
        <v>99.386233655455882</v>
      </c>
      <c r="E128" s="5" cm="1" vm="328">
        <f t="array" ref="E128">_xlfn._xlws.PY(12,1,C128,D128)</f>
        <v>67.538653227112817</v>
      </c>
      <c r="F128" s="2">
        <v>1.0000000000000001E-5</v>
      </c>
    </row>
    <row r="129" spans="3:6" x14ac:dyDescent="0.3">
      <c r="C129" cm="1" vm="329">
        <f t="array" ref="C129">_xlfn._xlws.PY(13,1,C128,F128,C128,D128)</f>
        <v>-0.25604798360568903</v>
      </c>
      <c r="D129" cm="1" vm="330">
        <f t="array" ref="D129">_xlfn._xlws.PY(14,1,D128,F128,C128,D128)</f>
        <v>99.386227151397435</v>
      </c>
      <c r="E129" s="5" cm="1" vm="331">
        <f t="array" ref="E129">_xlfn._xlws.PY(12,1,C129,D129)</f>
        <v>67.538648996677068</v>
      </c>
      <c r="F129" s="2">
        <v>1.0000000000000001E-5</v>
      </c>
    </row>
    <row r="130" spans="3:6" x14ac:dyDescent="0.3">
      <c r="C130" cm="1" vm="332">
        <f t="array" ref="C130">_xlfn._xlws.PY(13,1,C129,F129,C129,D129)</f>
        <v>-0.25604794383237045</v>
      </c>
      <c r="D130" cm="1" vm="333">
        <f t="array" ref="D130">_xlfn._xlws.PY(14,1,D129,F129,C129,D129)</f>
        <v>99.386220647339201</v>
      </c>
      <c r="E130" s="5" cm="1" vm="334">
        <f t="array" ref="E130">_xlfn._xlws.PY(12,1,C130,D130)</f>
        <v>67.538644766241589</v>
      </c>
      <c r="F130" s="2">
        <v>1.0000000000000001E-5</v>
      </c>
    </row>
    <row r="131" spans="3:6" x14ac:dyDescent="0.3">
      <c r="C131" cm="1" vm="335">
        <f t="array" ref="C131">_xlfn._xlws.PY(13,1,C130,F130,C130,D130)</f>
        <v>-0.25604790405901501</v>
      </c>
      <c r="D131" cm="1" vm="336">
        <f t="array" ref="D131">_xlfn._xlws.PY(14,1,D130,F130,C130,D130)</f>
        <v>99.38621414328118</v>
      </c>
      <c r="E131" s="5" cm="1" vm="337">
        <f t="array" ref="E131">_xlfn._xlws.PY(12,1,C131,D131)</f>
        <v>67.538640535806394</v>
      </c>
      <c r="F131" s="2">
        <v>1.0000000000000001E-5</v>
      </c>
    </row>
    <row r="132" spans="3:6" x14ac:dyDescent="0.3">
      <c r="C132" cm="1" vm="338">
        <f t="array" ref="C132">_xlfn._xlws.PY(13,1,C131,F131,C131,D131)</f>
        <v>-0.25604786428563286</v>
      </c>
      <c r="D132" cm="1" vm="339">
        <f t="array" ref="D132">_xlfn._xlws.PY(14,1,D131,F131,C131,D131)</f>
        <v>99.386207639223358</v>
      </c>
      <c r="E132" s="5" cm="1" vm="340">
        <f t="array" ref="E132">_xlfn._xlws.PY(12,1,C132,D132)</f>
        <v>67.538636305371455</v>
      </c>
      <c r="F132" s="2">
        <v>1.0000000000000001E-5</v>
      </c>
    </row>
    <row r="133" spans="3:6" x14ac:dyDescent="0.3">
      <c r="C133" cm="1" vm="341">
        <f t="array" ref="C133">_xlfn._xlws.PY(13,1,C132,F132,C132,D132)</f>
        <v>-0.25604782451223151</v>
      </c>
      <c r="D133" cm="1" vm="342">
        <f t="array" ref="D133">_xlfn._xlws.PY(14,1,D132,F132,C132,D132)</f>
        <v>99.386201135165749</v>
      </c>
      <c r="E133" s="5" cm="1" vm="343">
        <f t="array" ref="E133">_xlfn._xlws.PY(12,1,C133,D133)</f>
        <v>67.5386320749368</v>
      </c>
      <c r="F133" s="2">
        <v>1.0000000000000001E-5</v>
      </c>
    </row>
    <row r="134" spans="3:6" x14ac:dyDescent="0.3">
      <c r="C134" cm="1" vm="344">
        <f t="array" ref="C134">_xlfn._xlws.PY(13,1,C133,F133,C133,D133)</f>
        <v>-0.2560477847388164</v>
      </c>
      <c r="D134" cm="1" vm="345">
        <f t="array" ref="D134">_xlfn._xlws.PY(14,1,D133,F133,C133,D133)</f>
        <v>99.386194631108353</v>
      </c>
      <c r="E134" s="5" cm="1" vm="346">
        <f t="array" ref="E134">_xlfn._xlws.PY(12,1,C134,D134)</f>
        <v>67.538627844502415</v>
      </c>
      <c r="F134" s="2">
        <v>1.0000000000000001E-5</v>
      </c>
    </row>
    <row r="135" spans="3:6" x14ac:dyDescent="0.3">
      <c r="C135" cm="1" vm="347">
        <f t="array" ref="C135">_xlfn._xlws.PY(13,1,C134,F134,C134,D134)</f>
        <v>-0.25604774496539151</v>
      </c>
      <c r="D135" cm="1" vm="348">
        <f t="array" ref="D135">_xlfn._xlws.PY(14,1,D134,F134,C134,D134)</f>
        <v>99.38618812705117</v>
      </c>
      <c r="E135" s="5" cm="1" vm="349">
        <f t="array" ref="E135">_xlfn._xlws.PY(12,1,C135,D135)</f>
        <v>67.5386236140683</v>
      </c>
      <c r="F135" s="2">
        <v>1.0000000000000001E-5</v>
      </c>
    </row>
    <row r="136" spans="3:6" x14ac:dyDescent="0.3">
      <c r="C136" cm="1" vm="350">
        <f t="array" ref="C136">_xlfn._xlws.PY(13,1,C135,F135,C135,D135)</f>
        <v>-0.2560477051919598</v>
      </c>
      <c r="D136" cm="1" vm="351">
        <f t="array" ref="D136">_xlfn._xlws.PY(14,1,D135,F135,C135,D135)</f>
        <v>99.386181622994187</v>
      </c>
      <c r="E136" s="5" cm="1" vm="352">
        <f t="array" ref="E136">_xlfn._xlws.PY(12,1,C136,D136)</f>
        <v>67.538619383634455</v>
      </c>
      <c r="F136" s="2">
        <v>1.0000000000000001E-5</v>
      </c>
    </row>
    <row r="137" spans="3:6" x14ac:dyDescent="0.3">
      <c r="C137" cm="1" vm="353">
        <f t="array" ref="C137">_xlfn._xlws.PY(13,1,C136,F136,C136,D136)</f>
        <v>-0.25604766541852342</v>
      </c>
      <c r="D137" cm="1" vm="354">
        <f t="array" ref="D137">_xlfn._xlws.PY(14,1,D136,F136,C136,D136)</f>
        <v>99.386175118937416</v>
      </c>
      <c r="E137" s="5" cm="1" vm="355">
        <f t="array" ref="E137">_xlfn._xlws.PY(12,1,C137,D137)</f>
        <v>67.53861515320088</v>
      </c>
      <c r="F137" s="2">
        <v>1.0000000000000001E-5</v>
      </c>
    </row>
    <row r="138" spans="3:6" x14ac:dyDescent="0.3">
      <c r="C138" cm="1" vm="356">
        <f t="array" ref="C138">_xlfn._xlws.PY(13,1,C137,F137,C137,D137)</f>
        <v>-0.25604762564508399</v>
      </c>
      <c r="D138" cm="1" vm="357">
        <f t="array" ref="D138">_xlfn._xlws.PY(14,1,D137,F137,C137,D137)</f>
        <v>99.386168614880859</v>
      </c>
      <c r="E138" s="5" cm="1" vm="358">
        <f t="array" ref="E138">_xlfn._xlws.PY(12,1,C138,D138)</f>
        <v>67.538610922767589</v>
      </c>
      <c r="F138" s="2">
        <v>1.0000000000000001E-5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Nhu-Tai Do</dc:creator>
  <cp:lastModifiedBy>Nhu-Tai Do</cp:lastModifiedBy>
  <dcterms:created xsi:type="dcterms:W3CDTF">2026-05-14T04:04:52Z</dcterms:created>
  <dcterms:modified xsi:type="dcterms:W3CDTF">2026-10-08T02:24:09Z</dcterms:modified>
</cp:coreProperties>
</file>